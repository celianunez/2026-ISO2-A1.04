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arámetros" sheetId="2" state="visible" r:id="rId4"/>
    <sheet name="Historias" sheetId="3" state="visible" r:id="rId5"/>
    <sheet name="Tasks" sheetId="4" state="visible" r:id="rId6"/>
    <sheet name="Casos de uso" sheetId="5" state="visible" r:id="rId7"/>
    <sheet name="Trazabilidad" sheetId="6" state="visible" r:id="rId8"/>
    <sheet name="Plantilla CU" sheetId="7" state="visible" r:id="rId9"/>
  </sheets>
  <definedNames>
    <definedName function="false" hidden="true" localSheetId="4" name="_xlnm._FilterDatabase" vbProcedure="false">'Casos de uso'!$A$1:$I$46</definedName>
    <definedName function="false" hidden="true" localSheetId="2" name="_xlnm._FilterDatabase" vbProcedure="false">Historias!$A$1:$I$27</definedName>
    <definedName function="false" hidden="true" localSheetId="3" name="_xlnm._FilterDatabase" vbProcedure="false">Tasks!$A$1:$E$112</definedName>
    <definedName function="false" hidden="true" localSheetId="5" name="_xlnm._FilterDatabase" vbProcedure="false">Trazabilidad!$A$1:$M$27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<sst xmlns="http://schemas.openxmlformats.org/spreadsheetml/2006/main" count="1274" uniqueCount="693">
  <si>
    <t xml:space="preserve">Resumen de esfuerzo por épica</t>
  </si>
  <si>
    <t xml:space="preserve">Épica</t>
  </si>
  <si>
    <t xml:space="preserve">Nº HU</t>
  </si>
  <si>
    <t xml:space="preserve">SP</t>
  </si>
  <si>
    <t xml:space="preserve">Horas sin IA</t>
  </si>
  <si>
    <t xml:space="preserve">Horas con IA</t>
  </si>
  <si>
    <t xml:space="preserve">1 – Paciente</t>
  </si>
  <si>
    <t xml:space="preserve">2 – Médico</t>
  </si>
  <si>
    <t xml:space="preserve">3 – Administración y Admisiones</t>
  </si>
  <si>
    <t xml:space="preserve">4 – Administrador del sistema</t>
  </si>
  <si>
    <t xml:space="preserve">TOTAL</t>
  </si>
  <si>
    <t xml:space="preserve">Notas</t>
  </si>
  <si>
    <t xml:space="preserve">• Una HU por requisito funcional (1 RF : 1 HU : 1 iteración), como propone el enunciado. Revisar si conviene agrupar en módulos Maven más cohesivos.</t>
  </si>
  <si>
    <t xml:space="preserve">• La Iteración 0 (Inception) y la Iteración N (integración, empaquetado, manual) no se incluyen: se presupuestan aparte.</t>
  </si>
  <si>
    <t xml:space="preserve">• Las horas se calculan desde la hoja Parámetros (equivalencia SP→horas y factor con IA).</t>
  </si>
  <si>
    <t xml:space="preserve">• Hojas: Historias (una fila por HU), Tasks (una fila por task, lista para importar a Jira/GitHub), Parámetros.</t>
  </si>
  <si>
    <t xml:space="preserve">• Revisión: HU-09, HU-13 y HU-21 se han dividido en HU-25, HU-26 y HU-24 (el SP total no cambia). Vocabulario: "administrativo" pasa a "personal de Admisiones". Ver hojas Trazabilidad y Casos de uso.</t>
  </si>
  <si>
    <t xml:space="preserve">Parámetros de estimación</t>
  </si>
  <si>
    <t xml:space="preserve">Celdas en azul = valores editables. Todas las horas del libro se recalculan a partir de ellas.</t>
  </si>
  <si>
    <t xml:space="preserve">Puntos de historia (SP)</t>
  </si>
  <si>
    <t xml:space="preserve">Factor de horas con IA respecto a sin IA</t>
  </si>
  <si>
    <t xml:space="preserve">Supuesto inicial del 50 %; no está medido. Ajustadlo con vuestra velocidad real y descontad el sesgo optimista de la IA.</t>
  </si>
  <si>
    <t xml:space="preserve">Leyenda de tipo de task</t>
  </si>
  <si>
    <t xml:space="preserve">H</t>
  </si>
  <si>
    <t xml:space="preserve">Tarea del ingeniero (análisis, diseño de interfaces, diseño de pruebas)</t>
  </si>
  <si>
    <t xml:space="preserve">A</t>
  </si>
  <si>
    <t xml:space="preserve">Tarea delegable a un agente de IA, con revisión humana</t>
  </si>
  <si>
    <t xml:space="preserve">ID</t>
  </si>
  <si>
    <t xml:space="preserve">Nombre</t>
  </si>
  <si>
    <t xml:space="preserve">Descripción</t>
  </si>
  <si>
    <t xml:space="preserve">Criterios de aceptación</t>
  </si>
  <si>
    <t xml:space="preserve">Esfuerzo (SP)</t>
  </si>
  <si>
    <t xml:space="preserve">Tasks</t>
  </si>
  <si>
    <t xml:space="preserve">HU-01</t>
  </si>
  <si>
    <t xml:space="preserve">Gestionar mis citas</t>
  </si>
  <si>
    <t xml:space="preserve">Como paciente, quiero consultar, confirmar, solicitar el cambio o cancelar mis citas, para gestionar mis pruebas sin llamar al hospital.</t>
  </si>
  <si>
    <t xml:space="preserve">• Veo la lista de mis citas futuras con prueba, fecha, hora, sala y estado.
• Puedo confirmar o cancelar una cita; la cancelación libera el hueco en la agenda.
• Puedo solicitar un cambio de fecha; la solicitud queda pendiente para Admisiones y veo su estado.
• No puedo cancelar ni modificar citas pasadas ni de otros pacientes.</t>
  </si>
  <si>
    <t xml:space="preserve">1. (H) Especificar el caso de uso y los estados de una cita
2. (H) Definir la interfaz del módulo de citas (consulta y cambio de estado)
3. (A) Implementar servicio y repositorio de citas del paciente
4. (A) Implementar vistas de consulta, confirmación, cancelación y solicitud de cambio
5. (H) Diseñar y revisar pruebas unitarias y de integración</t>
  </si>
  <si>
    <t xml:space="preserve">HU-02</t>
  </si>
  <si>
    <t xml:space="preserve">Recibir notificaciones y recordatorios</t>
  </si>
  <si>
    <t xml:space="preserve">Como paciente, quiero recibir avisos sobre mis citas, la preparación previa y la disponibilidad de informes, para acudir bien preparado y enterarme cuando haya resultados.</t>
  </si>
  <si>
    <t xml:space="preserve">• Recibo un recordatorio antes de cada cita con la antelación configurada.
• Cuando la prueba exige preparación (ayuno, contraste), el aviso incluye las instrucciones.
• Recibo un aviso cuando un informe pasa a estar disponible.
• Si cancelo o reprogramo una cita, el recordatorio anterior deja de enviarse.</t>
  </si>
  <si>
    <t xml:space="preserve">1. (H) Definir eventos que generan notificación y plantillas de mensaje
2. (H) Diseñar la interfaz de envío (canal desacoplado: correo, push)
3. (A) Implementar el planificador de recordatorios
4. (A) Implementar la bandeja de notificaciones del paciente
5. (H) Diseñar pruebas de los casos de cancelación y reprogramación</t>
  </si>
  <si>
    <t xml:space="preserve">HU-03</t>
  </si>
  <si>
    <t xml:space="preserve">Consultar mi historial de pruebas</t>
  </si>
  <si>
    <t xml:space="preserve">Como paciente, quiero consultar las pruebas diagnósticas que me han realizado, para tener acceso a mi historial.</t>
  </si>
  <si>
    <t xml:space="preserve">• Veo mis pruebas realizadas ordenadas por fecha, con tipo de prueba y estado del informe.
• Puedo abrir el informe cuando está disponible.
• Solo accedo a mis propios datos; cada acceso queda registrado para auditoría.</t>
  </si>
  <si>
    <t xml:space="preserve">1. (H) Especificar el caso de uso y la política de visibilidad de informes
2. (A) Implementar la consulta de historial con filtros por fecha y tipo
3. (A) Implementar la vista de detalle del informe
4. (H) Diseñar pruebas de control de acceso</t>
  </si>
  <si>
    <t xml:space="preserve">HU-04</t>
  </si>
  <si>
    <t xml:space="preserve">Enviar incidencias y encuestas de satisfacción</t>
  </si>
  <si>
    <t xml:space="preserve">Como paciente, quiero reportar incidencias y valorar la atención recibida, para contribuir a mejorar el servicio.</t>
  </si>
  <si>
    <t xml:space="preserve">• Puedo enviar una incidencia con descripción y, opcionalmente, asociarla a una cita.
• Tras una prueba completada puedo responder una encuesta de satisfacción una sola vez.
• Recibo confirmación del envío y puedo ver el estado de mis incidencias.</t>
  </si>
  <si>
    <t xml:space="preserve">1. (H) Definir el modelo de incidencia y el cuestionario de la encuesta
2. (A) Implementar formularios y persistencia
3. (A) Implementar la vista de seguimiento de incidencias
4. (H) Diseñar pruebas de validación de formularios</t>
  </si>
  <si>
    <t xml:space="preserve">HU-05</t>
  </si>
  <si>
    <t xml:space="preserve">Consultar guías clínicas y revisiones periódicas</t>
  </si>
  <si>
    <t xml:space="preserve">Como paciente, quiero acceder a guías clínicas y a mi calendario de revisiones periódicas, para saber qué pruebas de seguimiento me corresponden y cuándo.</t>
  </si>
  <si>
    <t xml:space="preserve">• Puedo consultar las guías asociadas a cada tipo de prueba.
• Veo las fechas previstas de mis pruebas de seguimiento.
• El contenido de las guías solo lo modifica personal autorizado.</t>
  </si>
  <si>
    <t xml:space="preserve">1. (H) Definir la estructura de las guías y su relación con el catálogo
2. (A) Implementar la consulta de guías y del calendario de seguimiento
3. (H) Diseñar pruebas de consulta y preparar contenido de ejemplo</t>
  </si>
  <si>
    <t xml:space="preserve">HU-06</t>
  </si>
  <si>
    <t xml:space="preserve">Solicitar una prueba diagnóstica</t>
  </si>
  <si>
    <t xml:space="preserve">Como médico, quiero prescribir una prueba indicando indicación clínica, justificación y prioridad, para que Admisiones pueda citar al paciente.</t>
  </si>
  <si>
    <t xml:space="preserve">• Selecciono paciente y tipo de prueba del catálogo; indicación y justificación son obligatorias.
• La prioridad (urgente, preferente, rutinaria) es obligatoria.
• El sistema avisa si la prueba tiene restricciones de seguridad o necesita contraste y consentimiento informado.
• La petición queda en estado «pendiente de cita» y visible para Admisiones.</t>
  </si>
  <si>
    <t xml:space="preserve">1. (H) Especificar el caso de uso y el ciclo de vida de una petición
2. (H) Definir la interfaz entre peticiones y catálogo de pruebas
3. (A) Implementar el formulario y la validación de reglas
4. (A) Implementar la persistencia y la publicación en la lista de pendientes
5. (H) Diseñar pruebas de reglas de seguridad y prioridad</t>
  </si>
  <si>
    <t xml:space="preserve">HU-07</t>
  </si>
  <si>
    <t xml:space="preserve">Solicitar pruebas de seguimiento periódicas</t>
  </si>
  <si>
    <t xml:space="preserve">Como médico, quiero ordenar pruebas con un intervalo de recurrencia, para que se generen automáticamente las futuras necesidades de citación.</t>
  </si>
  <si>
    <t xml:space="preserve">• Solo puedo programar seguimiento en pruebas marcadas como aptas para ello.
• Defino intervalo y número de repeticiones o fecha final.
• El sistema genera las peticiones futuras en las fechas correspondientes.
• Puedo suspender o modificar la serie y se actualizan las peticiones futuras.</t>
  </si>
  <si>
    <t xml:space="preserve">1. (H) Modelar la recurrencia y sus casos límite
2. (A) Implementar el generador de peticiones futuras
3. (A) Implementar la gestión de series (suspender, modificar)
4. (H) Diseñar pruebas con calendarios y fechas límite</t>
  </si>
  <si>
    <t xml:space="preserve">HU-08</t>
  </si>
  <si>
    <t xml:space="preserve">Seguir el estado de mis peticiones y ver agendas</t>
  </si>
  <si>
    <t xml:space="preserve">Como médico, quiero ver el estado de mis peticiones y las agendas disponibles, para saber cuándo se realizarán las pruebas.</t>
  </si>
  <si>
    <t xml:space="preserve">• Veo mis peticiones con estado (pendiente, citada, realizada, informada, cancelada).
• Puedo filtrar por paciente, prioridad y estado.
• Puedo consultar los huecos libres de agenda por tipo de prueba, sin modificarlos.</t>
  </si>
  <si>
    <t xml:space="preserve">1. (H) Especificar los estados y las transiciones permitidas
2. (A) Implementar listado con filtros
3. (A) Implementar la consulta de agenda en solo lectura
4. (H) Diseñar pruebas de filtros y permisos</t>
  </si>
  <si>
    <t xml:space="preserve">HU-09</t>
  </si>
  <si>
    <t xml:space="preserve">Redactar, revisar y firmar informes diagnósticos</t>
  </si>
  <si>
    <t xml:space="preserve">Como médico, quiero redactar, editar, revisar y firmar el informe de una prueba, para emitir el diagnóstico de mis pacientes.</t>
  </si>
  <si>
    <t xml:space="preserve">• Guardo borradores, edito y firmo el informe; una vez firmado queda versionado y no se sobrescribe.
• Solo accedo a informes de mis pacientes asignados.
• Al firmar, se dispara el aviso al paciente (HU-02).</t>
  </si>
  <si>
    <t xml:space="preserve">1. (H) Especificar el flujo borrador, revisión y firma
2. (A) Implementar editor de informes y versionado
3. (A) Implementar la firma y el cambio de estado
4. (H) Diseñar pruebas de versionado y permisos</t>
  </si>
  <si>
    <t xml:space="preserve">HU-25</t>
  </si>
  <si>
    <t xml:space="preserve">Visualizar imágenes DICOM desde el informe</t>
  </si>
  <si>
    <t xml:space="preserve">Como médico, quiero abrir las imágenes de la prueba en un visor DICOM web desde el informe, para fundamentar el diagnóstico.</t>
  </si>
  <si>
    <t xml:space="preserve">• Abro el visor desde el informe con las imágenes de la prueba.
• Solo accedo a imágenes de mis pacientes asignados y cada acceso queda auditado.
• Si el PACS no está disponible, veo un mensaje claro y puedo seguir redactando el informe.</t>
  </si>
  <si>
    <t xml:space="preserve">1. (H) Definir los requisitos del visor y la política de acceso a imágenes
2. (A) Integrar el visor DICOM web
3. (A) Conectar el visor con la interfaz de imágenes del PACS (HU-24)
4. (H) Diseñar pruebas de control de acceso y de fallo del PACS</t>
  </si>
  <si>
    <t xml:space="preserve">HU-10</t>
  </si>
  <si>
    <t xml:space="preserve">Registrar la ejecución de la prueba y sus incidencias</t>
  </si>
  <si>
    <t xml:space="preserve">Como médico, quiero registrar cómo se ha realizado una prueba y documentar incidencias clínicas u operativas, para dejar trazabilidad.</t>
  </si>
  <si>
    <t xml:space="preserve">• Registro hora real, equipo/sala usada y observaciones.
• Puedo asociar incidencias (técnica, clínica, paciente ausente) a la ejecución.
• La petición pasa a «realizada» al guardar la ejecución.</t>
  </si>
  <si>
    <t xml:space="preserve">1. (H) Definir el modelo de ejecución e incidencia
2. (A) Implementar formulario y persistencia
3. (A) Implementar la transición de estado de la petición
4. (H) Diseñar pruebas de estados</t>
  </si>
  <si>
    <t xml:space="preserve">HU-11</t>
  </si>
  <si>
    <t xml:space="preserve">Consultar métricas operativas de mis peticiones</t>
  </si>
  <si>
    <t xml:space="preserve">Como médico, quiero ver tiempos de espera, uso de recursos y cumplimiento de seguimientos, para evaluar cómo se atienden mis peticiones.</t>
  </si>
  <si>
    <t xml:space="preserve">• Veo el tiempo medio de espera entre petición y realización, por prioridad.
• Veo la utilización de recursos técnicos de mis pruebas.
• Veo el porcentaje de seguimientos realizados en plazo.
• Los datos se limitan a mis propias peticiones y se pueden filtrar por periodo.</t>
  </si>
  <si>
    <t xml:space="preserve">1. (H) Definir las métricas y sus fórmulas
2. (A) Implementar consultas agregadas
3. (A) Implementar el panel con filtros de periodo
4. (H) Verificar los cálculos con datos de prueba</t>
  </si>
  <si>
    <t xml:space="preserve">HU-12</t>
  </si>
  <si>
    <t xml:space="preserve">Gestionar datos demográficos de pacientes</t>
  </si>
  <si>
    <t xml:space="preserve">Como personal de Admisiones, quiero dar de alta, modificar y dar de baja pacientes, para mantener sus datos actualizados.</t>
  </si>
  <si>
    <t xml:space="preserve">• El alta exige los campos obligatorios y rechaza identificadores duplicados.
• Puedo modificar datos de contacto y demográficos con registro del cambio.
• La baja es lógica: conserva el historial y bloquea nuevas citas.</t>
  </si>
  <si>
    <t xml:space="preserve">1. (H) Definir el modelo de paciente y las reglas de alta y baja
2. (A) Implementar CRUD con baja lógica
3. (A) Implementar el formulario y la búsqueda de pacientes
4. (H) Diseñar pruebas de duplicados y validación</t>
  </si>
  <si>
    <t xml:space="preserve">HU-13</t>
  </si>
  <si>
    <t xml:space="preserve">Asignar citas en la agenda</t>
  </si>
  <si>
    <t xml:space="preserve">Como personal de Admisiones, quiero asignar citas a las peticiones médicas, para ejecutar las reservas definitivas.</t>
  </si>
  <si>
    <t xml:space="preserve">• Solo asigno huecos compatibles con el tipo de prueba, equipo/sala y duración.
• No puede haber dos citas solapadas en el mismo recurso.
• Al asignar una cita se notifica al paciente.</t>
  </si>
  <si>
    <t xml:space="preserve">1. (H) Especificar el caso de uso y las reglas de citación
2. (H) Diseñar la interfaz del módulo de agenda (reserva, liberación)
3. (A) Implementar la lógica de asignación y control de solapes
4. (A) Implementar la vista de calendario
5. (H) Diseñar pruebas de concurrencia y solapes</t>
  </si>
  <si>
    <t xml:space="preserve">HU-26</t>
  </si>
  <si>
    <t xml:space="preserve">Reprogramar y cancelar citas y resolver solicitudes de cambio</t>
  </si>
  <si>
    <t xml:space="preserve">Como personal de Admisiones, quiero reprogramar y cancelar citas y resolver las solicitudes de cambio de los pacientes, para mantener la agenda al día.</t>
  </si>
  <si>
    <t xml:space="preserve">• Al reprogramar o cancelar, se libera el hueco y se notifica al paciente.
• Puedo aceptar o rechazar las solicitudes de cambio del paciente (HU-01) y el paciente ve el resultado.
• La reprogramación respeta las mismas reglas de compatibilidad y no solapamiento que HU-13.</t>
  </si>
  <si>
    <t xml:space="preserve">1. (H) Definir el flujo de reprogramación y los estados de la solicitud de cambio
2. (A) Implementar reprogramación y cancelación con liberación de hueco
3. (A) Integrar las notificaciones y la resolución de solicitudes de HU-01
4. (H) Diseñar pruebas de reprogramación y de solicitudes concurrentes</t>
  </si>
  <si>
    <t xml:space="preserve">HU-14</t>
  </si>
  <si>
    <t xml:space="preserve">Gestionar listas de trabajo diarias</t>
  </si>
  <si>
    <t xml:space="preserve">Como personal de Admisiones, quiero generar y gestionar la lista de trabajo diaria del personal médico, para organizar la jornada.</t>
  </si>
  <si>
    <t xml:space="preserve">• Veo las citas del día por sala, equipo y profesional.
• Puedo reasignar una cita a otro profesional o sala compatible.
• La lista refleja cancelaciones y cambios en tiempo real.</t>
  </si>
  <si>
    <t xml:space="preserve">1. (H) Definir el modelo de lista de trabajo
2. (A) Implementar la consulta diaria y la reasignación
3. (A) Implementar la vista por sala y profesional
4. (H) Diseñar pruebas de reasignación y de actualización en tiempo real</t>
  </si>
  <si>
    <t xml:space="preserve">HU-15</t>
  </si>
  <si>
    <t xml:space="preserve">Gestionar listas de espera y prioridades</t>
  </si>
  <si>
    <t xml:space="preserve">Como personal de Admisiones, quiero gestionar la lista de espera, los niveles de prioridad y los huecos que se liberan, para atender antes los casos más urgentes.</t>
  </si>
  <si>
    <t xml:space="preserve">• La lista de espera se ordena por prioridad y antigüedad.
• Al liberarse un hueco, el sistema propone la petición más prioritaria compatible.
• Puedo modificar la prioridad con justificación registrada.</t>
  </si>
  <si>
    <t xml:space="preserve">1. (H) Definir criterios de ordenación y triaje
2. (A) Implementar la lista de espera y la propuesta automática de hueco
3. (A) Implementar la edición de prioridad con auditoría
4. (H) Diseñar pruebas de ordenación y empates</t>
  </si>
  <si>
    <t xml:space="preserve">HU-16</t>
  </si>
  <si>
    <t xml:space="preserve">Generar informes operativos</t>
  </si>
  <si>
    <t xml:space="preserve">Como personal de Admisiones, quiero generar informes de ocupación, esperas y cancelaciones, para evaluar el funcionamiento del servicio.</t>
  </si>
  <si>
    <t xml:space="preserve">• Obtengo la ocupación por sala/equipo, el tiempo medio de espera y la tasa de cancelaciones.
• Puedo filtrar por periodo, tipo de prueba y prioridad.
• Puedo exportar el informe.</t>
  </si>
  <si>
    <t xml:space="preserve">1. (H) Definir indicadores y fórmulas
2. (A) Implementar consultas agregadas
3. (A) Implementar la generación y exportación
4. (H) Verificar con datos de prueba</t>
  </si>
  <si>
    <t xml:space="preserve">HU-17</t>
  </si>
  <si>
    <t xml:space="preserve">Configurar parámetros del sistema</t>
  </si>
  <si>
    <t xml:space="preserve">Como administrador, quiero configurar protocolos, horarios, políticas de citación y prioridades, para adaptar el sistema al servicio sin tocar código.</t>
  </si>
  <si>
    <t xml:space="preserve">• Puedo editar horarios de salas, políticas de citación y niveles de prioridad.
• Los cambios se aplican sin reiniciar y solo afectan a citas futuras.
• Cada cambio queda registrado en auditoría.</t>
  </si>
  <si>
    <t xml:space="preserve">1. (H) Identificar parámetros configurables y sus valores por defecto
2. (A) Implementar almacén de configuración y su API
3. (A) Implementar la pantalla de administración
4. (H) Diseñar pruebas de efecto sobre citas existentes</t>
  </si>
  <si>
    <t xml:space="preserve">HU-18</t>
  </si>
  <si>
    <t xml:space="preserve">Gestionar roles y permisos</t>
  </si>
  <si>
    <t xml:space="preserve">Como administrador, quiero asignar roles y permisos a los usuarios, para controlar quién accede a cada función y dato.</t>
  </si>
  <si>
    <t xml:space="preserve">• Puedo asignar y retirar roles (paciente, médico, administrativo, administrador).
• Un usuario sin permiso recibe denegación en la interfaz y en el servidor.
• Los cambios de rol son efectivos en la siguiente sesión y quedan auditados.</t>
  </si>
  <si>
    <t xml:space="preserve">1. (H) Definir la matriz de roles y permisos
2. (H) Diseñar la interfaz de autorización del sistema
3. (A) Implementar la gestión de roles y las comprobaciones
4. (H) Diseñar pruebas de acceso denegado</t>
  </si>
  <si>
    <t xml:space="preserve">HU-19</t>
  </si>
  <si>
    <t xml:space="preserve">Auditar actividad y accesos a datos clínicos</t>
  </si>
  <si>
    <t xml:space="preserve">Como administrador, quiero consultar quién accedió a qué datos clínicos y cuándo, para cumplir la normativa de protección de datos.</t>
  </si>
  <si>
    <t xml:space="preserve">• Se registra usuario, fecha, acción y recurso en cada acceso a datos clínicos.
• Puedo filtrar por usuario, paciente, fecha y tipo de acción.
• Los registros no se pueden editar ni borrar desde la aplicación.</t>
  </si>
  <si>
    <t xml:space="preserve">1. (H) Definir eventos auditables y retención
2. (A) Implementar el registro transversal de auditoría
3. (A) Implementar la consulta con filtros
4. (H) Diseñar pruebas de inmutabilidad</t>
  </si>
  <si>
    <t xml:space="preserve">HU-20</t>
  </si>
  <si>
    <t xml:space="preserve">Acceso con SSO corporativo</t>
  </si>
  <si>
    <t xml:space="preserve">Como administrador, quiero integrar el inicio de sesión único corporativo, para que los usuarios accedan con sus credenciales del hospital.</t>
  </si>
  <si>
    <t xml:space="preserve">• Un usuario autenticado en el SSO accede sin volver a identificarse.
• El rol del usuario se asigna a partir de su identidad corporativa y la configuración de HU-18.
• Si el SSO no está disponible, se muestra un error claro.</t>
  </si>
  <si>
    <t xml:space="preserve">1. (H) Elegir el protocolo y documentar la decisión en DECISIONS.md
2. (H) Definir la interfaz de autenticación (contrato)
3. (A) Implementar el adaptador SSO y un simulador para pruebas
4. (H) Diseñar pruebas de fallo y caducidad de sesión</t>
  </si>
  <si>
    <t xml:space="preserve">HU-21</t>
  </si>
  <si>
    <t xml:space="preserve">Integrar HCE y admisión (FHIR/HL7)</t>
  </si>
  <si>
    <t xml:space="preserve">Como administrador, quiero integrar la historia clínica y la admisión con HL7 y FHIR, para obtener los datos del paciente sin duplicarlos.</t>
  </si>
  <si>
    <t xml:space="preserve">• Los datos del paciente se obtienen de admisión/HCE vía FHIR o HL7.
• La integración tiene un adaptador sustituible y un simulador.
• Los fallos de integración se registran y no bloquean el resto del sistema.</t>
  </si>
  <si>
    <t xml:space="preserve">1. (H) Decidir y documentar en DECISIONS.md la fuente de verdad de los datos del paciente (HU-12 / HU-21)
2. (H) Analizar los mensajes y recursos necesarios de HCE y admisión
3. (H) Definir la interfaz del adaptador HCE/admisión
4. (A) Implementar el adaptador HCE/admisión (FHIR/HL7)
5. (A) Implementar el simulador de HCE/admisión
6. (H) Diseñar pruebas de integración y de tolerancia a fallos</t>
  </si>
  <si>
    <t xml:space="preserve">HU-24</t>
  </si>
  <si>
    <t xml:space="preserve">Integrar RIS/PACS (DICOM)</t>
  </si>
  <si>
    <t xml:space="preserve">Como administrador, quiero integrar el RIS/PACS mediante DICOM, para recuperar las imágenes sin duplicarlas.</t>
  </si>
  <si>
    <t xml:space="preserve">• Las imágenes se recuperan del PACS vía DICOM.
• La integración tiene un adaptador sustituible y un simulador.
• Los fallos de integración se registran y no bloquean el resto del sistema.</t>
  </si>
  <si>
    <t xml:space="preserve">1. (H) Analizar los servicios DICOM necesarios (consulta y recuperación)
2. (H) Definir la interfaz de acceso a imágenes (contrato que usa HU-25)
3. (A) Implementar el adaptador RIS/PACS (DICOM)
4. (A) Implementar el simulador del PACS
5. (H) Diseñar pruebas de integración y de tolerancia a fallos</t>
  </si>
  <si>
    <t xml:space="preserve">HU-22</t>
  </si>
  <si>
    <t xml:space="preserve">Estadísticas globales e informes de uso</t>
  </si>
  <si>
    <t xml:space="preserve">Como administrador, quiero ver estadísticas globales del sistema, para conocer su uso y rendimiento.</t>
  </si>
  <si>
    <t xml:space="preserve">• Veo usuarios activos, peticiones, citas y pruebas realizadas por periodo.
• Puedo desglosar por tipo de prueba y por rol.
• Puedo exportar los informes.</t>
  </si>
  <si>
    <t xml:space="preserve">1. (H) Definir indicadores globales
2. (A) Implementar agregaciones
3. (A) Implementar el panel y la exportación
4. (H) Verificar con datos de prueba</t>
  </si>
  <si>
    <t xml:space="preserve">HU-23</t>
  </si>
  <si>
    <t xml:space="preserve">Gestionar el catálogo de tipos de prueba</t>
  </si>
  <si>
    <t xml:space="preserve">Como administrador, quiero mantener el catálogo de pruebas con sus atributos, para que médicos y administrativos trabajen con información correcta.</t>
  </si>
  <si>
    <t xml:space="preserve">• Puedo crear, editar y desactivar tipos de prueba con modalidad, equipo/sala, duración, preparación, contraste y consentimiento, restricciones, prioridad y aptitud para seguimiento.
• Una prueba desactivada no se puede solicitar, pero se conserva en el historial.
• Los campos obligatorios se validan.</t>
  </si>
  <si>
    <t xml:space="preserve">1. (H) Modelar el catálogo y sus atributos
2. (H) Definir la interfaz del catálogo para los demás módulos
3. (A) Implementar CRUD con desactivación lógica
4. (A) Cargar datos iniciales (radiografía, ecografía, mamografía, TC, RM)
5. (H) Diseñar pruebas de validación</t>
  </si>
  <si>
    <t xml:space="preserve">ID task</t>
  </si>
  <si>
    <t xml:space="preserve">HU</t>
  </si>
  <si>
    <t xml:space="preserve">Nombre de la HU</t>
  </si>
  <si>
    <t xml:space="preserve">Tipo (H/A)</t>
  </si>
  <si>
    <t xml:space="preserve">Task</t>
  </si>
  <si>
    <t xml:space="preserve">HU-01-T1</t>
  </si>
  <si>
    <t xml:space="preserve">Especificar el caso de uso y los estados de una cita</t>
  </si>
  <si>
    <t xml:space="preserve">HU-01-T2</t>
  </si>
  <si>
    <t xml:space="preserve">Definir la interfaz del módulo de citas (consulta y cambio de estado)</t>
  </si>
  <si>
    <t xml:space="preserve">HU-01-T3</t>
  </si>
  <si>
    <t xml:space="preserve">Implementar servicio y repositorio de citas del paciente</t>
  </si>
  <si>
    <t xml:space="preserve">HU-01-T4</t>
  </si>
  <si>
    <t xml:space="preserve">Implementar vistas de consulta, confirmación, cancelación y solicitud de cambio</t>
  </si>
  <si>
    <t xml:space="preserve">HU-01-T5</t>
  </si>
  <si>
    <t xml:space="preserve">Diseñar y revisar pruebas unitarias y de integración</t>
  </si>
  <si>
    <t xml:space="preserve">HU-02-T1</t>
  </si>
  <si>
    <t xml:space="preserve">Definir eventos que generan notificación y plantillas de mensaje</t>
  </si>
  <si>
    <t xml:space="preserve">HU-02-T2</t>
  </si>
  <si>
    <t xml:space="preserve">Diseñar la interfaz de envío (canal desacoplado: correo, push)</t>
  </si>
  <si>
    <t xml:space="preserve">HU-02-T3</t>
  </si>
  <si>
    <t xml:space="preserve">Implementar el planificador de recordatorios</t>
  </si>
  <si>
    <t xml:space="preserve">HU-02-T4</t>
  </si>
  <si>
    <t xml:space="preserve">Implementar la bandeja de notificaciones del paciente</t>
  </si>
  <si>
    <t xml:space="preserve">HU-02-T5</t>
  </si>
  <si>
    <t xml:space="preserve">Diseñar pruebas de los casos de cancelación y reprogramación</t>
  </si>
  <si>
    <t xml:space="preserve">HU-03-T1</t>
  </si>
  <si>
    <t xml:space="preserve">Especificar el caso de uso y la política de visibilidad de informes</t>
  </si>
  <si>
    <t xml:space="preserve">HU-03-T2</t>
  </si>
  <si>
    <t xml:space="preserve">Implementar la consulta de historial con filtros por fecha y tipo</t>
  </si>
  <si>
    <t xml:space="preserve">HU-03-T3</t>
  </si>
  <si>
    <t xml:space="preserve">Implementar la vista de detalle del informe</t>
  </si>
  <si>
    <t xml:space="preserve">HU-03-T4</t>
  </si>
  <si>
    <t xml:space="preserve">Diseñar pruebas de control de acceso</t>
  </si>
  <si>
    <t xml:space="preserve">HU-04-T1</t>
  </si>
  <si>
    <t xml:space="preserve">Definir el modelo de incidencia y el cuestionario de la encuesta</t>
  </si>
  <si>
    <t xml:space="preserve">HU-04-T2</t>
  </si>
  <si>
    <t xml:space="preserve">Implementar formularios y persistencia</t>
  </si>
  <si>
    <t xml:space="preserve">HU-04-T3</t>
  </si>
  <si>
    <t xml:space="preserve">Implementar la vista de seguimiento de incidencias</t>
  </si>
  <si>
    <t xml:space="preserve">HU-04-T4</t>
  </si>
  <si>
    <t xml:space="preserve">Diseñar pruebas de validación de formularios</t>
  </si>
  <si>
    <t xml:space="preserve">HU-05-T1</t>
  </si>
  <si>
    <t xml:space="preserve">Definir la estructura de las guías y su relación con el catálogo</t>
  </si>
  <si>
    <t xml:space="preserve">HU-05-T2</t>
  </si>
  <si>
    <t xml:space="preserve">Implementar la consulta de guías y del calendario de seguimiento</t>
  </si>
  <si>
    <t xml:space="preserve">HU-05-T3</t>
  </si>
  <si>
    <t xml:space="preserve">Diseñar pruebas de consulta y preparar contenido de ejemplo</t>
  </si>
  <si>
    <t xml:space="preserve">HU-06-T1</t>
  </si>
  <si>
    <t xml:space="preserve">Especificar el caso de uso y el ciclo de vida de una petición</t>
  </si>
  <si>
    <t xml:space="preserve">HU-06-T2</t>
  </si>
  <si>
    <t xml:space="preserve">Definir la interfaz entre peticiones y catálogo de pruebas</t>
  </si>
  <si>
    <t xml:space="preserve">HU-06-T3</t>
  </si>
  <si>
    <t xml:space="preserve">Implementar el formulario y la validación de reglas</t>
  </si>
  <si>
    <t xml:space="preserve">HU-06-T4</t>
  </si>
  <si>
    <t xml:space="preserve">Implementar la persistencia y la publicación en la lista de pendientes</t>
  </si>
  <si>
    <t xml:space="preserve">HU-06-T5</t>
  </si>
  <si>
    <t xml:space="preserve">Diseñar pruebas de reglas de seguridad y prioridad</t>
  </si>
  <si>
    <t xml:space="preserve">HU-07-T1</t>
  </si>
  <si>
    <t xml:space="preserve">Modelar la recurrencia y sus casos límite</t>
  </si>
  <si>
    <t xml:space="preserve">HU-07-T2</t>
  </si>
  <si>
    <t xml:space="preserve">Implementar el generador de peticiones futuras</t>
  </si>
  <si>
    <t xml:space="preserve">HU-07-T3</t>
  </si>
  <si>
    <t xml:space="preserve">Implementar la gestión de series (suspender, modificar)</t>
  </si>
  <si>
    <t xml:space="preserve">HU-07-T4</t>
  </si>
  <si>
    <t xml:space="preserve">Diseñar pruebas con calendarios y fechas límite</t>
  </si>
  <si>
    <t xml:space="preserve">HU-08-T1</t>
  </si>
  <si>
    <t xml:space="preserve">Especificar los estados y las transiciones permitidas</t>
  </si>
  <si>
    <t xml:space="preserve">HU-08-T2</t>
  </si>
  <si>
    <t xml:space="preserve">Implementar listado con filtros</t>
  </si>
  <si>
    <t xml:space="preserve">HU-08-T3</t>
  </si>
  <si>
    <t xml:space="preserve">Implementar la consulta de agenda en solo lectura</t>
  </si>
  <si>
    <t xml:space="preserve">HU-08-T4</t>
  </si>
  <si>
    <t xml:space="preserve">Diseñar pruebas de filtros y permisos</t>
  </si>
  <si>
    <t xml:space="preserve">HU-09-T1</t>
  </si>
  <si>
    <t xml:space="preserve">Especificar el flujo borrador, revisión y firma</t>
  </si>
  <si>
    <t xml:space="preserve">HU-09-T2</t>
  </si>
  <si>
    <t xml:space="preserve">Implementar editor de informes y versionado</t>
  </si>
  <si>
    <t xml:space="preserve">HU-09-T3</t>
  </si>
  <si>
    <t xml:space="preserve">Implementar la firma y el cambio de estado</t>
  </si>
  <si>
    <t xml:space="preserve">HU-09-T4</t>
  </si>
  <si>
    <t xml:space="preserve">Diseñar pruebas de versionado y permisos</t>
  </si>
  <si>
    <t xml:space="preserve">HU-25-T1</t>
  </si>
  <si>
    <t xml:space="preserve">Definir los requisitos del visor y la política de acceso a imágenes</t>
  </si>
  <si>
    <t xml:space="preserve">HU-25-T2</t>
  </si>
  <si>
    <t xml:space="preserve">Integrar el visor DICOM web</t>
  </si>
  <si>
    <t xml:space="preserve">HU-25-T3</t>
  </si>
  <si>
    <t xml:space="preserve">Conectar el visor con la interfaz de imágenes del PACS (HU-24)</t>
  </si>
  <si>
    <t xml:space="preserve">HU-25-T4</t>
  </si>
  <si>
    <t xml:space="preserve">Diseñar pruebas de control de acceso y de fallo del PACS</t>
  </si>
  <si>
    <t xml:space="preserve">HU-10-T1</t>
  </si>
  <si>
    <t xml:space="preserve">Definir el modelo de ejecución e incidencia</t>
  </si>
  <si>
    <t xml:space="preserve">HU-10-T2</t>
  </si>
  <si>
    <t xml:space="preserve">Implementar formulario y persistencia</t>
  </si>
  <si>
    <t xml:space="preserve">HU-10-T3</t>
  </si>
  <si>
    <t xml:space="preserve">Implementar la transición de estado de la petición</t>
  </si>
  <si>
    <t xml:space="preserve">HU-10-T4</t>
  </si>
  <si>
    <t xml:space="preserve">Diseñar pruebas de estados</t>
  </si>
  <si>
    <t xml:space="preserve">HU-11-T1</t>
  </si>
  <si>
    <t xml:space="preserve">Definir las métricas y sus fórmulas</t>
  </si>
  <si>
    <t xml:space="preserve">HU-11-T2</t>
  </si>
  <si>
    <t xml:space="preserve">Implementar consultas agregadas</t>
  </si>
  <si>
    <t xml:space="preserve">HU-11-T3</t>
  </si>
  <si>
    <t xml:space="preserve">Implementar el panel con filtros de periodo</t>
  </si>
  <si>
    <t xml:space="preserve">HU-11-T4</t>
  </si>
  <si>
    <t xml:space="preserve">Verificar los cálculos con datos de prueba</t>
  </si>
  <si>
    <t xml:space="preserve">HU-12-T1</t>
  </si>
  <si>
    <t xml:space="preserve">Definir el modelo de paciente y las reglas de alta y baja</t>
  </si>
  <si>
    <t xml:space="preserve">HU-12-T2</t>
  </si>
  <si>
    <t xml:space="preserve">Implementar CRUD con baja lógica</t>
  </si>
  <si>
    <t xml:space="preserve">HU-12-T3</t>
  </si>
  <si>
    <t xml:space="preserve">Implementar el formulario y la búsqueda de pacientes</t>
  </si>
  <si>
    <t xml:space="preserve">HU-12-T4</t>
  </si>
  <si>
    <t xml:space="preserve">Diseñar pruebas de duplicados y validación</t>
  </si>
  <si>
    <t xml:space="preserve">HU-13-T1</t>
  </si>
  <si>
    <t xml:space="preserve">Especificar el caso de uso y las reglas de citación</t>
  </si>
  <si>
    <t xml:space="preserve">HU-13-T2</t>
  </si>
  <si>
    <t xml:space="preserve">Diseñar la interfaz del módulo de agenda (reserva, liberación)</t>
  </si>
  <si>
    <t xml:space="preserve">HU-13-T3</t>
  </si>
  <si>
    <t xml:space="preserve">Implementar la lógica de asignación y control de solapes</t>
  </si>
  <si>
    <t xml:space="preserve">HU-13-T4</t>
  </si>
  <si>
    <t xml:space="preserve">Implementar la vista de calendario</t>
  </si>
  <si>
    <t xml:space="preserve">HU-13-T5</t>
  </si>
  <si>
    <t xml:space="preserve">Diseñar pruebas de concurrencia y solapes</t>
  </si>
  <si>
    <t xml:space="preserve">HU-26-T1</t>
  </si>
  <si>
    <t xml:space="preserve">Definir el flujo de reprogramación y los estados de la solicitud de cambio</t>
  </si>
  <si>
    <t xml:space="preserve">HU-26-T2</t>
  </si>
  <si>
    <t xml:space="preserve">Implementar reprogramación y cancelación con liberación de hueco</t>
  </si>
  <si>
    <t xml:space="preserve">HU-26-T3</t>
  </si>
  <si>
    <t xml:space="preserve">Integrar las notificaciones y la resolución de solicitudes de HU-01</t>
  </si>
  <si>
    <t xml:space="preserve">HU-26-T4</t>
  </si>
  <si>
    <t xml:space="preserve">Diseñar pruebas de reprogramación y de solicitudes concurrentes</t>
  </si>
  <si>
    <t xml:space="preserve">HU-14-T1</t>
  </si>
  <si>
    <t xml:space="preserve">Definir el modelo de lista de trabajo</t>
  </si>
  <si>
    <t xml:space="preserve">HU-14-T2</t>
  </si>
  <si>
    <t xml:space="preserve">Implementar la consulta diaria y la reasignación</t>
  </si>
  <si>
    <t xml:space="preserve">HU-14-T3</t>
  </si>
  <si>
    <t xml:space="preserve">Implementar la vista por sala y profesional</t>
  </si>
  <si>
    <t xml:space="preserve">HU-14-T4</t>
  </si>
  <si>
    <t xml:space="preserve">Diseñar pruebas de reasignación y de actualización en tiempo real</t>
  </si>
  <si>
    <t xml:space="preserve">HU-15-T1</t>
  </si>
  <si>
    <t xml:space="preserve">Definir criterios de ordenación y triaje</t>
  </si>
  <si>
    <t xml:space="preserve">HU-15-T2</t>
  </si>
  <si>
    <t xml:space="preserve">Implementar la lista de espera y la propuesta automática de hueco</t>
  </si>
  <si>
    <t xml:space="preserve">HU-15-T3</t>
  </si>
  <si>
    <t xml:space="preserve">Implementar la edición de prioridad con auditoría</t>
  </si>
  <si>
    <t xml:space="preserve">HU-15-T4</t>
  </si>
  <si>
    <t xml:space="preserve">Diseñar pruebas de ordenación y empates</t>
  </si>
  <si>
    <t xml:space="preserve">HU-16-T1</t>
  </si>
  <si>
    <t xml:space="preserve">Definir indicadores y fórmulas</t>
  </si>
  <si>
    <t xml:space="preserve">HU-16-T2</t>
  </si>
  <si>
    <t xml:space="preserve">HU-16-T3</t>
  </si>
  <si>
    <t xml:space="preserve">Implementar la generación y exportación</t>
  </si>
  <si>
    <t xml:space="preserve">HU-16-T4</t>
  </si>
  <si>
    <t xml:space="preserve">Verificar con datos de prueba</t>
  </si>
  <si>
    <t xml:space="preserve">HU-17-T1</t>
  </si>
  <si>
    <t xml:space="preserve">Identificar parámetros configurables y sus valores por defecto</t>
  </si>
  <si>
    <t xml:space="preserve">HU-17-T2</t>
  </si>
  <si>
    <t xml:space="preserve">Implementar almacén de configuración y su API</t>
  </si>
  <si>
    <t xml:space="preserve">HU-17-T3</t>
  </si>
  <si>
    <t xml:space="preserve">Implementar la pantalla de administración</t>
  </si>
  <si>
    <t xml:space="preserve">HU-17-T4</t>
  </si>
  <si>
    <t xml:space="preserve">Diseñar pruebas de efecto sobre citas existentes</t>
  </si>
  <si>
    <t xml:space="preserve">HU-18-T1</t>
  </si>
  <si>
    <t xml:space="preserve">Definir la matriz de roles y permisos</t>
  </si>
  <si>
    <t xml:space="preserve">HU-18-T2</t>
  </si>
  <si>
    <t xml:space="preserve">Diseñar la interfaz de autorización del sistema</t>
  </si>
  <si>
    <t xml:space="preserve">HU-18-T3</t>
  </si>
  <si>
    <t xml:space="preserve">Implementar la gestión de roles y las comprobaciones</t>
  </si>
  <si>
    <t xml:space="preserve">HU-18-T4</t>
  </si>
  <si>
    <t xml:space="preserve">Diseñar pruebas de acceso denegado</t>
  </si>
  <si>
    <t xml:space="preserve">HU-19-T1</t>
  </si>
  <si>
    <t xml:space="preserve">Definir eventos auditables y retención</t>
  </si>
  <si>
    <t xml:space="preserve">HU-19-T2</t>
  </si>
  <si>
    <t xml:space="preserve">Implementar el registro transversal de auditoría</t>
  </si>
  <si>
    <t xml:space="preserve">HU-19-T3</t>
  </si>
  <si>
    <t xml:space="preserve">Implementar la consulta con filtros</t>
  </si>
  <si>
    <t xml:space="preserve">HU-19-T4</t>
  </si>
  <si>
    <t xml:space="preserve">Diseñar pruebas de inmutabilidad</t>
  </si>
  <si>
    <t xml:space="preserve">HU-20-T1</t>
  </si>
  <si>
    <t xml:space="preserve">Elegir el protocolo y documentar la decisión en DECISIONS.md</t>
  </si>
  <si>
    <t xml:space="preserve">HU-20-T2</t>
  </si>
  <si>
    <t xml:space="preserve">Definir la interfaz de autenticación (contrato)</t>
  </si>
  <si>
    <t xml:space="preserve">HU-20-T3</t>
  </si>
  <si>
    <t xml:space="preserve">Implementar el adaptador SSO y un simulador para pruebas</t>
  </si>
  <si>
    <t xml:space="preserve">HU-20-T4</t>
  </si>
  <si>
    <t xml:space="preserve">Diseñar pruebas de fallo y caducidad de sesión</t>
  </si>
  <si>
    <t xml:space="preserve">HU-21-T1</t>
  </si>
  <si>
    <t xml:space="preserve">Decidir y documentar en DECISIONS.md la fuente de verdad de los datos del paciente (HU-12 / HU-21)</t>
  </si>
  <si>
    <t xml:space="preserve">HU-21-T2</t>
  </si>
  <si>
    <t xml:space="preserve">Analizar los mensajes y recursos necesarios de HCE y admisión</t>
  </si>
  <si>
    <t xml:space="preserve">HU-21-T3</t>
  </si>
  <si>
    <t xml:space="preserve">Definir la interfaz del adaptador HCE/admisión</t>
  </si>
  <si>
    <t xml:space="preserve">HU-21-T4</t>
  </si>
  <si>
    <t xml:space="preserve">Implementar el adaptador HCE/admisión (FHIR/HL7)</t>
  </si>
  <si>
    <t xml:space="preserve">HU-21-T5</t>
  </si>
  <si>
    <t xml:space="preserve">Implementar el simulador de HCE/admisión</t>
  </si>
  <si>
    <t xml:space="preserve">HU-21-T6</t>
  </si>
  <si>
    <t xml:space="preserve">Diseñar pruebas de integración y de tolerancia a fallos</t>
  </si>
  <si>
    <t xml:space="preserve">HU-24-T1</t>
  </si>
  <si>
    <t xml:space="preserve">Analizar los servicios DICOM necesarios (consulta y recuperación)</t>
  </si>
  <si>
    <t xml:space="preserve">HU-24-T2</t>
  </si>
  <si>
    <t xml:space="preserve">Definir la interfaz de acceso a imágenes (contrato que usa HU-25)</t>
  </si>
  <si>
    <t xml:space="preserve">HU-24-T3</t>
  </si>
  <si>
    <t xml:space="preserve">Implementar el adaptador RIS/PACS (DICOM)</t>
  </si>
  <si>
    <t xml:space="preserve">HU-24-T4</t>
  </si>
  <si>
    <t xml:space="preserve">Implementar el simulador del PACS</t>
  </si>
  <si>
    <t xml:space="preserve">HU-24-T5</t>
  </si>
  <si>
    <t xml:space="preserve">HU-22-T1</t>
  </si>
  <si>
    <t xml:space="preserve">Definir indicadores globales</t>
  </si>
  <si>
    <t xml:space="preserve">HU-22-T2</t>
  </si>
  <si>
    <t xml:space="preserve">Implementar agregaciones</t>
  </si>
  <si>
    <t xml:space="preserve">HU-22-T3</t>
  </si>
  <si>
    <t xml:space="preserve">Implementar el panel y la exportación</t>
  </si>
  <si>
    <t xml:space="preserve">HU-22-T4</t>
  </si>
  <si>
    <t xml:space="preserve">HU-23-T1</t>
  </si>
  <si>
    <t xml:space="preserve">Modelar el catálogo y sus atributos</t>
  </si>
  <si>
    <t xml:space="preserve">HU-23-T2</t>
  </si>
  <si>
    <t xml:space="preserve">Definir la interfaz del catálogo para los demás módulos</t>
  </si>
  <si>
    <t xml:space="preserve">HU-23-T3</t>
  </si>
  <si>
    <t xml:space="preserve">Implementar CRUD con desactivación lógica</t>
  </si>
  <si>
    <t xml:space="preserve">HU-23-T4</t>
  </si>
  <si>
    <t xml:space="preserve">Cargar datos iniciales (radiografía, ecografía, mamografía, TC, RM)</t>
  </si>
  <si>
    <t xml:space="preserve">HU-23-T5</t>
  </si>
  <si>
    <t xml:space="preserve">Diseñar pruebas de validación</t>
  </si>
  <si>
    <t xml:space="preserve">ID CU</t>
  </si>
  <si>
    <t xml:space="preserve">Caso de uso</t>
  </si>
  <si>
    <t xml:space="preserve">Tipo</t>
  </si>
  <si>
    <t xml:space="preserve">Actor principal</t>
  </si>
  <si>
    <t xml:space="preserve">Actores secundarios</t>
  </si>
  <si>
    <t xml:space="preserve">HU principal</t>
  </si>
  <si>
    <t xml:space="preserve">Otras HU que lo usan</t>
  </si>
  <si>
    <t xml:space="preserve">Relaciones</t>
  </si>
  <si>
    <t xml:space="preserve">Observaciones</t>
  </si>
  <si>
    <t xml:space="preserve">CU-01</t>
  </si>
  <si>
    <t xml:space="preserve">Consultar mis citas</t>
  </si>
  <si>
    <t xml:space="preserve">Usuario</t>
  </si>
  <si>
    <t xml:space="preserve">Paciente</t>
  </si>
  <si>
    <t xml:space="preserve">CU-02</t>
  </si>
  <si>
    <t xml:space="preserve">Confirmar cita</t>
  </si>
  <si>
    <t xml:space="preserve">CU-03</t>
  </si>
  <si>
    <t xml:space="preserve">Cancelar cita</t>
  </si>
  <si>
    <t xml:space="preserve">Paciente; Personal de Admisiones</t>
  </si>
  <si>
    <t xml:space="preserve">«include» CU-05</t>
  </si>
  <si>
    <t xml:space="preserve">CU compartido con dos actores (generalización): el paciente cancela las suyas y Admisiones cualquiera.</t>
  </si>
  <si>
    <t xml:space="preserve">CU-04</t>
  </si>
  <si>
    <t xml:space="preserve">Solicitar cambio de cita</t>
  </si>
  <si>
    <t xml:space="preserve">Genera una solicitud pendiente que resuelve CU-30.</t>
  </si>
  <si>
    <t xml:space="preserve">CU-05</t>
  </si>
  <si>
    <t xml:space="preserve">Enviar notificación</t>
  </si>
  <si>
    <t xml:space="preserve">Sistema</t>
  </si>
  <si>
    <t xml:space="preserve">Planificador (temporizador)</t>
  </si>
  <si>
    <t xml:space="preserve">Canal de envío (correo/push)</t>
  </si>
  <si>
    <t xml:space="preserve">HU-01; HU-09; HU-13; HU-26</t>
  </si>
  <si>
    <t xml:space="preserve">Transversal: lo incluyen cancelar, reprogramar, asignar y firmar informe.</t>
  </si>
  <si>
    <t xml:space="preserve">CU-06</t>
  </si>
  <si>
    <t xml:space="preserve">Consultar bandeja de notificaciones</t>
  </si>
  <si>
    <t xml:space="preserve">CU-07</t>
  </si>
  <si>
    <t xml:space="preserve">Consultar historial de pruebas</t>
  </si>
  <si>
    <t xml:space="preserve">«include» CU-08</t>
  </si>
  <si>
    <t xml:space="preserve">CU-08</t>
  </si>
  <si>
    <t xml:space="preserve">Consultar informe de una prueba</t>
  </si>
  <si>
    <t xml:space="preserve">Paciente; Médico</t>
  </si>
  <si>
    <t xml:space="preserve">Se reutiliza desde el flujo de informes del médico.</t>
  </si>
  <si>
    <t xml:space="preserve">CU-09</t>
  </si>
  <si>
    <t xml:space="preserve">Enviar incidencia</t>
  </si>
  <si>
    <t xml:space="preserve">CU-10</t>
  </si>
  <si>
    <t xml:space="preserve">Responder encuesta de satisfacción</t>
  </si>
  <si>
    <t xml:space="preserve">Solo una vez por prueba completada.</t>
  </si>
  <si>
    <t xml:space="preserve">CU-11</t>
  </si>
  <si>
    <t xml:space="preserve">Consultar guías clínicas</t>
  </si>
  <si>
    <t xml:space="preserve">CU-12</t>
  </si>
  <si>
    <t xml:space="preserve">Consultar calendario de seguimiento</t>
  </si>
  <si>
    <t xml:space="preserve">CU-13</t>
  </si>
  <si>
    <t xml:space="preserve">Prescribir prueba diagnóstica</t>
  </si>
  <si>
    <t xml:space="preserve">Médico</t>
  </si>
  <si>
    <t xml:space="preserve">Usa el catálogo (HU-23).</t>
  </si>
  <si>
    <t xml:space="preserve">CU-14</t>
  </si>
  <si>
    <t xml:space="preserve">Prescribir seguimiento periódico</t>
  </si>
  <si>
    <t xml:space="preserve">«extend» CU-13</t>
  </si>
  <si>
    <t xml:space="preserve">CU-15</t>
  </si>
  <si>
    <t xml:space="preserve">Gestionar serie de seguimiento</t>
  </si>
  <si>
    <t xml:space="preserve">Suspender o modificar la serie.</t>
  </si>
  <si>
    <t xml:space="preserve">CU-16</t>
  </si>
  <si>
    <t xml:space="preserve">Generar peticiones futuras</t>
  </si>
  <si>
    <t xml:space="preserve">Lo dispara el calendario de recurrencia.</t>
  </si>
  <si>
    <t xml:space="preserve">CU-17</t>
  </si>
  <si>
    <t xml:space="preserve">Consultar estado de mis peticiones</t>
  </si>
  <si>
    <t xml:space="preserve">CU-18</t>
  </si>
  <si>
    <t xml:space="preserve">Consultar agenda disponible</t>
  </si>
  <si>
    <t xml:space="preserve">Médico; Personal de Admisiones</t>
  </si>
  <si>
    <t xml:space="preserve">Consulta de solo lectura compartida con Asignar cita.</t>
  </si>
  <si>
    <t xml:space="preserve">CU-19</t>
  </si>
  <si>
    <t xml:space="preserve">Redactar informe</t>
  </si>
  <si>
    <t xml:space="preserve">«include» CU-21</t>
  </si>
  <si>
    <t xml:space="preserve">CU-20</t>
  </si>
  <si>
    <t xml:space="preserve">Revisar y firmar informe</t>
  </si>
  <si>
    <t xml:space="preserve">«include» CU-05; «include» CU-21</t>
  </si>
  <si>
    <t xml:space="preserve">Al firmar se avisa al paciente.</t>
  </si>
  <si>
    <t xml:space="preserve">CU-21</t>
  </si>
  <si>
    <t xml:space="preserve">Visualizar imágenes de la prueba</t>
  </si>
  <si>
    <t xml:space="preserve">RIS/PACS</t>
  </si>
  <si>
    <t xml:space="preserve">Incluido desde redactar y revisar informe; usa CU-43.</t>
  </si>
  <si>
    <t xml:space="preserve">CU-22</t>
  </si>
  <si>
    <t xml:space="preserve">Registrar ejecución de la prueba</t>
  </si>
  <si>
    <t xml:space="preserve">CU-23</t>
  </si>
  <si>
    <t xml:space="preserve">Registrar incidencia de ejecución</t>
  </si>
  <si>
    <t xml:space="preserve">«extend» CU-22</t>
  </si>
  <si>
    <t xml:space="preserve">CU-24</t>
  </si>
  <si>
    <t xml:space="preserve">Consultar métricas operativas del médico</t>
  </si>
  <si>
    <t xml:space="preserve">HU-16; HU-22</t>
  </si>
  <si>
    <t xml:space="preserve">Motor de indicadores común con CU-35 y CU-44.</t>
  </si>
  <si>
    <t xml:space="preserve">CU-25</t>
  </si>
  <si>
    <t xml:space="preserve">Registrar paciente</t>
  </si>
  <si>
    <t xml:space="preserve">Personal de Admisiones</t>
  </si>
  <si>
    <t xml:space="preserve">HCE / admisión</t>
  </si>
  <si>
    <t xml:space="preserve">CU-26</t>
  </si>
  <si>
    <t xml:space="preserve">Modificar datos del paciente</t>
  </si>
  <si>
    <t xml:space="preserve">CU-27</t>
  </si>
  <si>
    <t xml:space="preserve">Dar de baja paciente</t>
  </si>
  <si>
    <t xml:space="preserve">Baja lógica.</t>
  </si>
  <si>
    <t xml:space="preserve">CU-28</t>
  </si>
  <si>
    <t xml:space="preserve">Asignar cita</t>
  </si>
  <si>
    <t xml:space="preserve">«include» CU-18; «include» CU-05</t>
  </si>
  <si>
    <t xml:space="preserve">CU-29</t>
  </si>
  <si>
    <t xml:space="preserve">Reprogramar cita</t>
  </si>
  <si>
    <t xml:space="preserve">CU-30</t>
  </si>
  <si>
    <t xml:space="preserve">Resolver solicitud de cambio de cita</t>
  </si>
  <si>
    <t xml:space="preserve">«include» CU-29</t>
  </si>
  <si>
    <t xml:space="preserve">Resuelve la solicitud creada en CU-04.</t>
  </si>
  <si>
    <t xml:space="preserve">CU-31</t>
  </si>
  <si>
    <t xml:space="preserve">Gestionar lista de trabajo diaria</t>
  </si>
  <si>
    <t xml:space="preserve">CU-32</t>
  </si>
  <si>
    <t xml:space="preserve">Gestionar lista de espera</t>
  </si>
  <si>
    <t xml:space="preserve">CU-33</t>
  </si>
  <si>
    <t xml:space="preserve">Modificar prioridad de una petición</t>
  </si>
  <si>
    <t xml:space="preserve">Con justificación registrada.</t>
  </si>
  <si>
    <t xml:space="preserve">CU-34</t>
  </si>
  <si>
    <t xml:space="preserve">Proponer hueco liberado</t>
  </si>
  <si>
    <t xml:space="preserve">Se dispara al liberarse un hueco (CU-03, CU-29).</t>
  </si>
  <si>
    <t xml:space="preserve">CU-35</t>
  </si>
  <si>
    <t xml:space="preserve">Generar informe operativo</t>
  </si>
  <si>
    <t xml:space="preserve">HU-11; HU-22</t>
  </si>
  <si>
    <t xml:space="preserve">CU-36</t>
  </si>
  <si>
    <t xml:space="preserve">Administrador del sistema</t>
  </si>
  <si>
    <t xml:space="preserve">CU-37</t>
  </si>
  <si>
    <t xml:space="preserve">CU-38</t>
  </si>
  <si>
    <t xml:space="preserve">Registrar acceso a datos clínicos</t>
  </si>
  <si>
    <t xml:space="preserve">Cualquier usuario autenticado (disparador)</t>
  </si>
  <si>
    <t xml:space="preserve">HU-03; HU-09; HU-25</t>
  </si>
  <si>
    <t xml:space="preserve">Transversal: lo invoca toda historia que accede a datos clínicos.</t>
  </si>
  <si>
    <t xml:space="preserve">CU-39</t>
  </si>
  <si>
    <t xml:space="preserve">Consultar auditoría</t>
  </si>
  <si>
    <t xml:space="preserve">CU-40</t>
  </si>
  <si>
    <t xml:space="preserve">Autenticarse con SSO</t>
  </si>
  <si>
    <t xml:space="preserve">Todos los usuarios</t>
  </si>
  <si>
    <t xml:space="preserve">SSO corporativo</t>
  </si>
  <si>
    <t xml:space="preserve">CU-41</t>
  </si>
  <si>
    <t xml:space="preserve">Obtener datos del paciente de HCE/admisión</t>
  </si>
  <si>
    <t xml:space="preserve">HCE; admisión</t>
  </si>
  <si>
    <t xml:space="preserve">CU-42</t>
  </si>
  <si>
    <t xml:space="preserve">Registrar fallo de integración</t>
  </si>
  <si>
    <t xml:space="preserve">Común a todos los adaptadores.</t>
  </si>
  <si>
    <t xml:space="preserve">CU-43</t>
  </si>
  <si>
    <t xml:space="preserve">Recuperar imágenes del PACS</t>
  </si>
  <si>
    <t xml:space="preserve">Contrato usado por CU-21.</t>
  </si>
  <si>
    <t xml:space="preserve">CU-44</t>
  </si>
  <si>
    <t xml:space="preserve">Consultar estadísticas globales</t>
  </si>
  <si>
    <t xml:space="preserve">CU-45</t>
  </si>
  <si>
    <t xml:space="preserve">Gestionar catálogo de tipos de prueba</t>
  </si>
  <si>
    <t xml:space="preserve">Un único CU con flujos alternativos (crear, editar, desactivar). Alternativa: tres CU.</t>
  </si>
  <si>
    <t xml:space="preserve">ID HU</t>
  </si>
  <si>
    <t xml:space="preserve">RF propuesto</t>
  </si>
  <si>
    <t xml:space="preserve">CU propios</t>
  </si>
  <si>
    <t xml:space="preserve">Nº CU propios</t>
  </si>
  <si>
    <t xml:space="preserve">Relación HU:CU</t>
  </si>
  <si>
    <t xml:space="preserve">CU de otras HU que reutiliza</t>
  </si>
  <si>
    <t xml:space="preserve">CU propios que reutilizan otras HU</t>
  </si>
  <si>
    <t xml:space="preserve">Depende de (HU)</t>
  </si>
  <si>
    <t xml:space="preserve">Bloque sugerido</t>
  </si>
  <si>
    <t xml:space="preserve">Observaciones / decisiones pendientes</t>
  </si>
  <si>
    <t xml:space="preserve">RF-01</t>
  </si>
  <si>
    <t xml:space="preserve">CU-01, CU-02, CU-03, CU-04</t>
  </si>
  <si>
    <t xml:space="preserve">CU-05, CU-29, CU-30</t>
  </si>
  <si>
    <t xml:space="preserve">CU-03 (HU-26), CU-04 (HU-26)</t>
  </si>
  <si>
    <t xml:space="preserve">HU-13; HU-20</t>
  </si>
  <si>
    <t xml:space="preserve">Cuatro funciones → CU-01 a CU-04. La cancelación (CU-03) es compartida con Admisiones; valorar unificar confirmar y cancelar.</t>
  </si>
  <si>
    <t xml:space="preserve">RF-02</t>
  </si>
  <si>
    <t xml:space="preserve">CU-05, CU-06</t>
  </si>
  <si>
    <t xml:space="preserve">CU-05 (HU-01), CU-05 (HU-09), CU-05 (HU-13), CU-05 (HU-26)</t>
  </si>
  <si>
    <t xml:space="preserve">Notificar es un CU de sistema reutilizado por HU-01, 09, 13 y 26. Implementar como servicio con canal desacoplado.</t>
  </si>
  <si>
    <t xml:space="preserve">RF-03</t>
  </si>
  <si>
    <t xml:space="preserve">CU-07, CU-08</t>
  </si>
  <si>
    <t xml:space="preserve">CU-08 (HU-09)</t>
  </si>
  <si>
    <t xml:space="preserve">HU-09; HU-20</t>
  </si>
  <si>
    <t xml:space="preserve">CU-08 (consultar informe) se comparte con el flujo de informes del médico.</t>
  </si>
  <si>
    <t xml:space="preserve">RF-04</t>
  </si>
  <si>
    <t xml:space="preserve">CU-09, CU-10</t>
  </si>
  <si>
    <t xml:space="preserve">RF-05</t>
  </si>
  <si>
    <t xml:space="preserve">CU-11, CU-12</t>
  </si>
  <si>
    <t xml:space="preserve">CU-12 (HU-07)</t>
  </si>
  <si>
    <t xml:space="preserve">HU-07; HU-23</t>
  </si>
  <si>
    <t xml:space="preserve">El calendario depende de HU-07 y las guías, del catálogo (HU-23).</t>
  </si>
  <si>
    <t xml:space="preserve">RF-06</t>
  </si>
  <si>
    <t xml:space="preserve">CU-13 (HU-23)</t>
  </si>
  <si>
    <t xml:space="preserve">HU-12; HU-18; HU-23</t>
  </si>
  <si>
    <t xml:space="preserve">Depende del catálogo (HU-23): construir antes.</t>
  </si>
  <si>
    <t xml:space="preserve">RF-07</t>
  </si>
  <si>
    <t xml:space="preserve">CU-14, CU-15, CU-16</t>
  </si>
  <si>
    <t xml:space="preserve">CU-16 (HU-15)</t>
  </si>
  <si>
    <t xml:space="preserve">CU-14 extiende CU-13; CU-16 lo ejecuta el sistema según el calendario de recurrencia.</t>
  </si>
  <si>
    <t xml:space="preserve">RF-08</t>
  </si>
  <si>
    <t xml:space="preserve">CU-17, CU-18</t>
  </si>
  <si>
    <t xml:space="preserve">CU-18 (HU-13)</t>
  </si>
  <si>
    <t xml:space="preserve">HU-06; HU-13</t>
  </si>
  <si>
    <t xml:space="preserve">RF-09</t>
  </si>
  <si>
    <t xml:space="preserve">CU-19, CU-20</t>
  </si>
  <si>
    <t xml:space="preserve">CU-05, CU-08, CU-21, CU-38</t>
  </si>
  <si>
    <t xml:space="preserve">CU-19 (HU-25)</t>
  </si>
  <si>
    <t xml:space="preserve">HU-06; HU-10</t>
  </si>
  <si>
    <t xml:space="preserve">Dividida: la visualización de imágenes pasa a HU-25.</t>
  </si>
  <si>
    <t xml:space="preserve">RF-10</t>
  </si>
  <si>
    <t xml:space="preserve">CU-22, CU-23</t>
  </si>
  <si>
    <t xml:space="preserve">RF-11</t>
  </si>
  <si>
    <t xml:space="preserve">CU-24 (HU-16), CU-24 (HU-22)</t>
  </si>
  <si>
    <t xml:space="preserve">Motor de indicadores común con HU-16 y HU-22: valorar un único componente de métricas.</t>
  </si>
  <si>
    <t xml:space="preserve">RF-12</t>
  </si>
  <si>
    <t xml:space="preserve">CU-25, CU-26, CU-27</t>
  </si>
  <si>
    <t xml:space="preserve">CU-25 (HU-21)</t>
  </si>
  <si>
    <t xml:space="preserve">HU-18; HU-21</t>
  </si>
  <si>
    <t xml:space="preserve">Decisión pendiente: fuente de verdad de los datos del paciente (HU-12 frente a HU-21). Registrar en DECISIONS.md.</t>
  </si>
  <si>
    <t xml:space="preserve">RF-13</t>
  </si>
  <si>
    <t xml:space="preserve">CU-05, CU-18</t>
  </si>
  <si>
    <t xml:space="preserve">HU-06; HU-12; HU-17; HU-23</t>
  </si>
  <si>
    <t xml:space="preserve">Dividida: reprogramar, cancelar y resolver solicitudes pasan a HU-26.</t>
  </si>
  <si>
    <t xml:space="preserve">RF-14</t>
  </si>
  <si>
    <t xml:space="preserve">RF-15</t>
  </si>
  <si>
    <t xml:space="preserve">CU-32, CU-33, CU-34</t>
  </si>
  <si>
    <t xml:space="preserve">CU-34 (HU-26)</t>
  </si>
  <si>
    <t xml:space="preserve">HU-13; HU-17</t>
  </si>
  <si>
    <t xml:space="preserve">CU-34 se dispara al liberarse un hueco (CU-03, CU-29).</t>
  </si>
  <si>
    <t xml:space="preserve">RF-16</t>
  </si>
  <si>
    <t xml:space="preserve">CU-35 (HU-11), CU-35 (HU-22)</t>
  </si>
  <si>
    <t xml:space="preserve">HU-13; HU-15</t>
  </si>
  <si>
    <t xml:space="preserve">Motor de indicadores común con HU-11 y HU-22.</t>
  </si>
  <si>
    <t xml:space="preserve">RF-17</t>
  </si>
  <si>
    <t xml:space="preserve">Solapa con HU-23 (protocolos) y HU-15 (prioridades): delimitar qué configura cada una.</t>
  </si>
  <si>
    <t xml:space="preserve">RF-18</t>
  </si>
  <si>
    <t xml:space="preserve">CU-37 (HU-20)</t>
  </si>
  <si>
    <t xml:space="preserve">HU-20 asigna el rol desde la identidad corporativa y consulta HU-18: construir HU-18 primero con usuarios simulados para evitar dependencia circular.</t>
  </si>
  <si>
    <t xml:space="preserve">RF-19</t>
  </si>
  <si>
    <t xml:space="preserve">CU-38, CU-39</t>
  </si>
  <si>
    <t xml:space="preserve">CU-38 (HU-03), CU-38 (HU-09), CU-38 (HU-25)</t>
  </si>
  <si>
    <t xml:space="preserve">CU-38 es transversal: lo invocan todas las historias que acceden a datos clínicos.</t>
  </si>
  <si>
    <t xml:space="preserve">RF-20</t>
  </si>
  <si>
    <t xml:space="preserve">CU-40 (HU-18)</t>
  </si>
  <si>
    <t xml:space="preserve">Registrar la elección de protocolo en DECISIONS.md.</t>
  </si>
  <si>
    <t xml:space="preserve">RF-21</t>
  </si>
  <si>
    <t xml:space="preserve">CU-41, CU-42</t>
  </si>
  <si>
    <t xml:space="preserve">CU-41 (HU-12), CU-42 (HU-24)</t>
  </si>
  <si>
    <t xml:space="preserve">Dividida: la parte DICOM pasa a HU-24.</t>
  </si>
  <si>
    <t xml:space="preserve">RF-22</t>
  </si>
  <si>
    <t xml:space="preserve">CU-24, CU-35</t>
  </si>
  <si>
    <t xml:space="preserve">HU-13; HU-19</t>
  </si>
  <si>
    <t xml:space="preserve">Motor de indicadores común con HU-11 y HU-16.</t>
  </si>
  <si>
    <t xml:space="preserve">RF-23</t>
  </si>
  <si>
    <t xml:space="preserve">CU-45 (HU-06)</t>
  </si>
  <si>
    <t xml:space="preserve">Un único CU de gestión con flujos alternativos; alternativa: tres CU.</t>
  </si>
  <si>
    <t xml:space="preserve">RF-21 (compartido con HU-21)</t>
  </si>
  <si>
    <t xml:space="preserve">CU-43 (HU-25)</t>
  </si>
  <si>
    <t xml:space="preserve">Nueva (división de HU-21). Su interfaz es el contrato que usa HU-25.</t>
  </si>
  <si>
    <t xml:space="preserve">RF-09 (compartido con HU-09)</t>
  </si>
  <si>
    <t xml:space="preserve">CU-19, CU-38, CU-43</t>
  </si>
  <si>
    <t xml:space="preserve">CU-21 (HU-09)</t>
  </si>
  <si>
    <t xml:space="preserve">HU-09; HU-24</t>
  </si>
  <si>
    <t xml:space="preserve">Nueva (división de HU-09). Depende del adaptador PACS (HU-24).</t>
  </si>
  <si>
    <t xml:space="preserve">RF-13 (compartido con HU-13)</t>
  </si>
  <si>
    <t xml:space="preserve">CU-29, CU-30</t>
  </si>
  <si>
    <t xml:space="preserve">CU-03, CU-04, CU-05, CU-34</t>
  </si>
  <si>
    <t xml:space="preserve">CU-29 (HU-01), CU-30 (HU-01)</t>
  </si>
  <si>
    <t xml:space="preserve">HU-01; HU-13</t>
  </si>
  <si>
    <t xml:space="preserve">Nueva (división de HU-13). Reutiliza CU-03 y CU-04 de HU-01.</t>
  </si>
  <si>
    <t xml:space="preserve">• El número de CU por historia es 1 o más (1:1 o 1:N). "Compartido" indica que algún CU propio o ajeno se reutiliza entre historias (N:M).</t>
  </si>
  <si>
    <t xml:space="preserve">• RF propuesto: un RF por historia original; las historias nacidas de una división (HU-24, HU-25, HU-26) comparten el RF de su origen (N:1).</t>
  </si>
  <si>
    <t xml:space="preserve">• Las columnas de listas de CU son texto: se actualizan a mano si cambia la hoja Casos de uso. "Nº CU propios" sí se recalcula.</t>
  </si>
  <si>
    <t xml:space="preserve">• Bloques sugeridos (no son iteraciones UP cerradas): 1 base transversal, 2 núcleo de citación, 3 ejecución e informes, 4 explotación y complementos.</t>
  </si>
  <si>
    <t xml:space="preserve">• Las dependencias son una propuesta de trabajo y deben ratificarse en la planificación de iteraciones.</t>
  </si>
  <si>
    <t xml:space="preserve">Plantilla de especificación de caso de uso</t>
  </si>
  <si>
    <t xml:space="preserve">Una ficha por caso de uso. La columna C muestra un ejemplo (CU-03) para ilustrar el nivel de detalle esperado; copiad A:B para cada CU nuevo.</t>
  </si>
  <si>
    <t xml:space="preserve">Campo</t>
  </si>
  <si>
    <t xml:space="preserve">Qué escribir</t>
  </si>
  <si>
    <t xml:space="preserve">Ejemplo: CU-03 Cancelar cita</t>
  </si>
  <si>
    <t xml:space="preserve">ID / versión / iteración</t>
  </si>
  <si>
    <t xml:space="preserve">CU-XX · versión · iteración UP en la que se realiza</t>
  </si>
  <si>
    <t xml:space="preserve">CU-03 · v0.1 · por asignar</t>
  </si>
  <si>
    <t xml:space="preserve">Trazabilidad</t>
  </si>
  <si>
    <t xml:space="preserve">HU principal y otras HU que lo usan; RF asociado</t>
  </si>
  <si>
    <t xml:space="preserve">HU-01 (principal), HU-26 · RF-01</t>
  </si>
  <si>
    <t xml:space="preserve">Objetivo</t>
  </si>
  <si>
    <t xml:space="preserve">Qué consigue el actor, en una frase</t>
  </si>
  <si>
    <t xml:space="preserve">Anular una cita futura y liberar el hueco de agenda.</t>
  </si>
  <si>
    <t xml:space="preserve">Rol que inicia el caso de uso</t>
  </si>
  <si>
    <t xml:space="preserve">Paciente (sus citas) o Personal de Admisiones (cualquier cita)</t>
  </si>
  <si>
    <t xml:space="preserve">Otros roles y sistemas externos (SSO, HCE, RIS/PACS, planificador)</t>
  </si>
  <si>
    <t xml:space="preserve">Servicio de notificaciones</t>
  </si>
  <si>
    <t xml:space="preserve">«include», «extend», generalización de actores</t>
  </si>
  <si>
    <t xml:space="preserve">«include» CU-05 Enviar notificación. La liberación del hueco dispara CU-34.</t>
  </si>
  <si>
    <t xml:space="preserve">Precondiciones</t>
  </si>
  <si>
    <t xml:space="preserve">Estado del sistema y del actor antes de empezar</t>
  </si>
  <si>
    <t xml:space="preserve">El actor está autenticado. La cita existe, es futura y no está cancelada. El paciente solo puede cancelar citas propias.</t>
  </si>
  <si>
    <t xml:space="preserve">Disparador</t>
  </si>
  <si>
    <t xml:space="preserve">Evento que inicia el caso de uso</t>
  </si>
  <si>
    <t xml:space="preserve">El actor selecciona «Cancelar» sobre una cita.</t>
  </si>
  <si>
    <t xml:space="preserve">Flujo principal</t>
  </si>
  <si>
    <t xml:space="preserve">Pasos numerados, un único camino exitoso, alternando actor y sistema</t>
  </si>
  <si>
    <t xml:space="preserve">1. El actor selecciona una cita futura.
2. El sistema muestra sus datos y pide confirmación.
3. El actor confirma.
4. El sistema pasa la cita a «cancelada» y libera el hueco.
5. El sistema registra la acción en auditoría y notifica al paciente (CU-05).
6. El sistema muestra la confirmación.</t>
  </si>
  <si>
    <t xml:space="preserve">Flujos alternativos</t>
  </si>
  <si>
    <t xml:space="preserve">Variantes válidas del objetivo: paso de origen y paso de retorno</t>
  </si>
  <si>
    <t xml:space="preserve">A1 (paso 3): el actor no confirma; el sistema vuelve a la lista sin cambios.
A2 (paso 3, Admisiones): el actor indica el motivo de la cancelación y continúa en el paso 4.</t>
  </si>
  <si>
    <t xml:space="preserve">Excepciones</t>
  </si>
  <si>
    <t xml:space="preserve">Fallos o violaciones de precondición y respuesta del sistema</t>
  </si>
  <si>
    <t xml:space="preserve">E1 (paso 1): la cita es pasada o ajena; el sistema deniega la operación.
E2 (paso 4): falla la liberación del hueco; no se cancela y se informa del error.
E3 (paso 5): falla la notificación; la cita queda cancelada y el aviso se reintenta.</t>
  </si>
  <si>
    <t xml:space="preserve">Postcondiciones</t>
  </si>
  <si>
    <t xml:space="preserve">Estado final en éxito y en fallo</t>
  </si>
  <si>
    <t xml:space="preserve">Éxito: cita cancelada, hueco libre y paciente notificado. Fallo: la cita no cambia.</t>
  </si>
  <si>
    <t xml:space="preserve">Reglas de negocio / RNF</t>
  </si>
  <si>
    <t xml:space="preserve">Políticas, parámetros y requisitos no funcionales aplicables</t>
  </si>
  <si>
    <t xml:space="preserve">Toda cancelación queda auditada (HU-19). Pendiente decidir si existe antelación mínima de cancelación (parámetro de HU-17).</t>
  </si>
  <si>
    <t xml:space="preserve">Supuestos y decisiones</t>
  </si>
  <si>
    <t xml:space="preserve">Referencia a DECISIONS.md</t>
  </si>
  <si>
    <t xml:space="preserve">Pendiente: antelación mínima de cancelación.</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</si>
</sst>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sz val="10"/>
      <color rgb="FF0000FF"/>
      <name val="Arial"/>
      <family val="0"/>
      <charset val="1"/>
    </font>
    <font>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7" fontId="9"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5" fontId="0" fillId="0" borderId="0" xfId="0" applyFont="false" applyBorder="false" applyAlignment="true" applyProtection="false">
      <alignment horizontal="center"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5" min="2" style="1" width="14"/>
  </cols>
  <sheetData>
    <row r="1" customFormat="false" ht="1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15" hidden="false" customHeight="true" outlineLevel="0" collapsed="false">
      <c r="A4" s="4" t="s">
        <v>6</v>
      </c>
      <c r="B4" s="5" t="n">
        <f aca="false">COUNTIF(Historias!$B$2:$B$27,A4)</f>
        <v>5</v>
      </c>
      <c r="C4" s="5" t="n">
        <f aca="false">SUMIFS(Historias!$F$2:$F$27,Historias!$B$2:$B$27,A4)</f>
        <v>18</v>
      </c>
      <c r="D4" s="5" t="n">
        <f aca="false">SUMIFS(Historias!$G$2:$G$27,Historias!$B$2:$B$27,A4)</f>
        <v>48</v>
      </c>
      <c r="E4" s="6" t="n">
        <f aca="false">SUMIFS(Historias!$H$2:$H$27,Historias!$B$2:$B$27,A4)</f>
        <v>24</v>
      </c>
    </row>
    <row r="5" customFormat="false" ht="15" hidden="false" customHeight="true" outlineLevel="0" collapsed="false">
      <c r="A5" s="7" t="s">
        <v>7</v>
      </c>
      <c r="B5" s="5" t="n">
        <f aca="false">COUNTIF(Historias!$B$2:$B$27,A5)</f>
        <v>7</v>
      </c>
      <c r="C5" s="5" t="n">
        <f aca="false">SUMIFS(Historias!$F$2:$F$27,Historias!$B$2:$B$27,A5)</f>
        <v>29</v>
      </c>
      <c r="D5" s="5" t="n">
        <f aca="false">SUMIFS(Historias!$G$2:$G$27,Historias!$B$2:$B$27,A5)</f>
        <v>80</v>
      </c>
      <c r="E5" s="6" t="n">
        <f aca="false">SUMIFS(Historias!$H$2:$H$27,Historias!$B$2:$B$27,A5)</f>
        <v>40</v>
      </c>
    </row>
    <row r="6" customFormat="false" ht="15" hidden="false" customHeight="true" outlineLevel="0" collapsed="false">
      <c r="A6" s="8" t="s">
        <v>8</v>
      </c>
      <c r="B6" s="5" t="n">
        <f aca="false">COUNTIF(Historias!$B$2:$B$27,A6)</f>
        <v>6</v>
      </c>
      <c r="C6" s="5" t="n">
        <f aca="false">SUMIFS(Historias!$F$2:$F$27,Historias!$B$2:$B$27,A6)</f>
        <v>26</v>
      </c>
      <c r="D6" s="5" t="n">
        <f aca="false">SUMIFS(Historias!$G$2:$G$27,Historias!$B$2:$B$27,A6)</f>
        <v>72</v>
      </c>
      <c r="E6" s="6" t="n">
        <f aca="false">SUMIFS(Historias!$H$2:$H$27,Historias!$B$2:$B$27,A6)</f>
        <v>36</v>
      </c>
    </row>
    <row r="7" customFormat="false" ht="15" hidden="false" customHeight="true" outlineLevel="0" collapsed="false">
      <c r="A7" s="9" t="s">
        <v>9</v>
      </c>
      <c r="B7" s="5" t="n">
        <f aca="false">COUNTIF(Historias!$B$2:$B$27,A7)</f>
        <v>8</v>
      </c>
      <c r="C7" s="5" t="n">
        <f aca="false">SUMIFS(Historias!$F$2:$F$27,Historias!$B$2:$B$27,A7)</f>
        <v>43</v>
      </c>
      <c r="D7" s="5" t="n">
        <f aca="false">SUMIFS(Historias!$G$2:$G$27,Historias!$B$2:$B$27,A7)</f>
        <v>122</v>
      </c>
      <c r="E7" s="6" t="n">
        <f aca="false">SUMIFS(Historias!$H$2:$H$27,Historias!$B$2:$B$27,A7)</f>
        <v>61</v>
      </c>
    </row>
    <row r="8" customFormat="false" ht="15" hidden="false" customHeight="true" outlineLevel="0" collapsed="false">
      <c r="A8" s="10" t="s">
        <v>10</v>
      </c>
      <c r="B8" s="11" t="n">
        <f aca="false">SUM(B4:B7)</f>
        <v>26</v>
      </c>
      <c r="C8" s="11" t="n">
        <f aca="false">SUM(C4:C7)</f>
        <v>116</v>
      </c>
      <c r="D8" s="11" t="n">
        <f aca="false">SUM(D4:D7)</f>
        <v>322</v>
      </c>
      <c r="E8" s="12" t="n">
        <f aca="false">SUM(E4:E7)</f>
        <v>161</v>
      </c>
    </row>
    <row r="10" customFormat="false" ht="15" hidden="false" customHeight="true" outlineLevel="0" collapsed="false">
      <c r="A10" s="13" t="s">
        <v>11</v>
      </c>
    </row>
    <row r="11" customFormat="false" ht="15" hidden="false" customHeight="true" outlineLevel="0" collapsed="false">
      <c r="A11" s="14" t="s">
        <v>12</v>
      </c>
    </row>
    <row r="12" customFormat="false" ht="15" hidden="false" customHeight="true" outlineLevel="0" collapsed="false">
      <c r="A12" s="14" t="s">
        <v>13</v>
      </c>
    </row>
    <row r="13" customFormat="false" ht="15" hidden="false" customHeight="true" outlineLevel="0" collapsed="false">
      <c r="A13" s="14" t="s">
        <v>14</v>
      </c>
    </row>
    <row r="14" customFormat="false" ht="15" hidden="false" customHeight="true" outlineLevel="0" collapsed="false">
      <c r="A14" s="14" t="s">
        <v>15</v>
      </c>
    </row>
    <row r="15" customFormat="false" ht="15" hidden="false" customHeight="false" outlineLevel="0" collapsed="false">
      <c r="A15" s="1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70"/>
  </cols>
  <sheetData>
    <row r="1" customFormat="false" ht="15" hidden="false" customHeight="true" outlineLevel="0" collapsed="false">
      <c r="A1" s="2" t="s">
        <v>17</v>
      </c>
    </row>
    <row r="2" customFormat="false" ht="15" hidden="false" customHeight="true" outlineLevel="0" collapsed="false">
      <c r="A2" s="15" t="s">
        <v>18</v>
      </c>
    </row>
    <row r="4" customFormat="false" ht="15" hidden="false" customHeight="true" outlineLevel="0" collapsed="false">
      <c r="A4" s="16" t="s">
        <v>19</v>
      </c>
      <c r="B4" s="16" t="s">
        <v>4</v>
      </c>
    </row>
    <row r="5" customFormat="false" ht="15" hidden="false" customHeight="true" outlineLevel="0" collapsed="false">
      <c r="A5" s="17" t="n">
        <v>2</v>
      </c>
      <c r="B5" s="17" t="n">
        <v>4</v>
      </c>
    </row>
    <row r="6" customFormat="false" ht="15" hidden="false" customHeight="true" outlineLevel="0" collapsed="false">
      <c r="A6" s="17" t="n">
        <v>3</v>
      </c>
      <c r="B6" s="17" t="n">
        <v>8</v>
      </c>
    </row>
    <row r="7" customFormat="false" ht="15" hidden="false" customHeight="true" outlineLevel="0" collapsed="false">
      <c r="A7" s="17" t="n">
        <v>5</v>
      </c>
      <c r="B7" s="17" t="n">
        <v>14</v>
      </c>
    </row>
    <row r="8" customFormat="false" ht="15" hidden="false" customHeight="true" outlineLevel="0" collapsed="false">
      <c r="A8" s="17" t="n">
        <v>8</v>
      </c>
      <c r="B8" s="17" t="n">
        <v>24</v>
      </c>
    </row>
    <row r="9" customFormat="false" ht="15" hidden="false" customHeight="true" outlineLevel="0" collapsed="false">
      <c r="A9" s="17" t="n">
        <v>13</v>
      </c>
      <c r="B9" s="17" t="n">
        <v>40</v>
      </c>
    </row>
    <row r="11" customFormat="false" ht="15" hidden="false" customHeight="true" outlineLevel="0" collapsed="false">
      <c r="A11" s="13" t="s">
        <v>20</v>
      </c>
      <c r="B11" s="18" t="n">
        <v>0.5</v>
      </c>
    </row>
    <row r="12" customFormat="false" ht="15" hidden="false" customHeight="true" outlineLevel="0" collapsed="false">
      <c r="A12" s="15" t="s">
        <v>21</v>
      </c>
    </row>
    <row r="14" customFormat="false" ht="15" hidden="false" customHeight="true" outlineLevel="0" collapsed="false">
      <c r="A14" s="13" t="s">
        <v>22</v>
      </c>
    </row>
    <row r="15" customFormat="false" ht="15" hidden="false" customHeight="true" outlineLevel="0" collapsed="false">
      <c r="A15" s="19" t="s">
        <v>23</v>
      </c>
      <c r="B15" s="14" t="s">
        <v>24</v>
      </c>
    </row>
    <row r="16" customFormat="false" ht="15" hidden="false" customHeight="true" outlineLevel="0" collapsed="false">
      <c r="A16" s="19" t="s">
        <v>25</v>
      </c>
      <c r="B16" s="14"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30"/>
    <col collapsed="false" customWidth="true" hidden="false" outlineLevel="0" max="4" min="4" style="1" width="48"/>
    <col collapsed="false" customWidth="true" hidden="false" outlineLevel="0" max="5" min="5" style="1" width="60"/>
    <col collapsed="false" customWidth="true" hidden="false" outlineLevel="0" max="8" min="6" style="1" width="10"/>
    <col collapsed="false" customWidth="true" hidden="false" outlineLevel="0" max="9" min="9" style="1" width="60"/>
  </cols>
  <sheetData>
    <row r="1" customFormat="false" ht="30" hidden="false" customHeight="true" outlineLevel="0" collapsed="false">
      <c r="A1" s="20" t="s">
        <v>27</v>
      </c>
      <c r="B1" s="20" t="s">
        <v>1</v>
      </c>
      <c r="C1" s="20" t="s">
        <v>28</v>
      </c>
      <c r="D1" s="20" t="s">
        <v>29</v>
      </c>
      <c r="E1" s="20" t="s">
        <v>30</v>
      </c>
      <c r="F1" s="20" t="s">
        <v>31</v>
      </c>
      <c r="G1" s="20" t="s">
        <v>4</v>
      </c>
      <c r="H1" s="20" t="s">
        <v>5</v>
      </c>
      <c r="I1" s="20" t="s">
        <v>32</v>
      </c>
    </row>
    <row r="2" customFormat="false" ht="111" hidden="false" customHeight="true" outlineLevel="0" collapsed="false">
      <c r="A2" s="11" t="s">
        <v>33</v>
      </c>
      <c r="B2" s="21" t="s">
        <v>6</v>
      </c>
      <c r="C2" s="22" t="s">
        <v>34</v>
      </c>
      <c r="D2" s="22" t="s">
        <v>35</v>
      </c>
      <c r="E2" s="22" t="s">
        <v>36</v>
      </c>
      <c r="F2" s="17" t="n">
        <v>5</v>
      </c>
      <c r="G2" s="5" t="n">
        <f aca="false">INDEX(Parámetros!$B$5:$B$9,MATCH(F2,Parámetros!$A$5:$A$9,0))</f>
        <v>14</v>
      </c>
      <c r="H2" s="6" t="n">
        <f aca="false">G2*Parámetros!$B$11</f>
        <v>7</v>
      </c>
      <c r="I2" s="22" t="s">
        <v>37</v>
      </c>
    </row>
    <row r="3" customFormat="false" ht="111" hidden="false" customHeight="true" outlineLevel="0" collapsed="false">
      <c r="A3" s="11" t="s">
        <v>38</v>
      </c>
      <c r="B3" s="21" t="s">
        <v>6</v>
      </c>
      <c r="C3" s="22" t="s">
        <v>39</v>
      </c>
      <c r="D3" s="22" t="s">
        <v>40</v>
      </c>
      <c r="E3" s="22" t="s">
        <v>41</v>
      </c>
      <c r="F3" s="17" t="n">
        <v>5</v>
      </c>
      <c r="G3" s="5" t="n">
        <f aca="false">INDEX(Parámetros!$B$5:$B$9,MATCH(F3,Parámetros!$A$5:$A$9,0))</f>
        <v>14</v>
      </c>
      <c r="H3" s="6" t="n">
        <f aca="false">G3*Parámetros!$B$11</f>
        <v>7</v>
      </c>
      <c r="I3" s="22" t="s">
        <v>42</v>
      </c>
    </row>
    <row r="4" customFormat="false" ht="84.75" hidden="false" customHeight="true" outlineLevel="0" collapsed="false">
      <c r="A4" s="11" t="s">
        <v>43</v>
      </c>
      <c r="B4" s="21" t="s">
        <v>6</v>
      </c>
      <c r="C4" s="22" t="s">
        <v>44</v>
      </c>
      <c r="D4" s="22" t="s">
        <v>45</v>
      </c>
      <c r="E4" s="22" t="s">
        <v>46</v>
      </c>
      <c r="F4" s="17" t="n">
        <v>3</v>
      </c>
      <c r="G4" s="5" t="n">
        <f aca="false">INDEX(Parámetros!$B$5:$B$9,MATCH(F4,Parámetros!$A$5:$A$9,0))</f>
        <v>8</v>
      </c>
      <c r="H4" s="6" t="n">
        <f aca="false">G4*Parámetros!$B$11</f>
        <v>4</v>
      </c>
      <c r="I4" s="22" t="s">
        <v>47</v>
      </c>
    </row>
    <row r="5" customFormat="false" ht="84.75" hidden="false" customHeight="true" outlineLevel="0" collapsed="false">
      <c r="A5" s="11" t="s">
        <v>48</v>
      </c>
      <c r="B5" s="21" t="s">
        <v>6</v>
      </c>
      <c r="C5" s="22" t="s">
        <v>49</v>
      </c>
      <c r="D5" s="22" t="s">
        <v>50</v>
      </c>
      <c r="E5" s="22" t="s">
        <v>51</v>
      </c>
      <c r="F5" s="17" t="n">
        <v>3</v>
      </c>
      <c r="G5" s="5" t="n">
        <f aca="false">INDEX(Parámetros!$B$5:$B$9,MATCH(F5,Parámetros!$A$5:$A$9,0))</f>
        <v>8</v>
      </c>
      <c r="H5" s="6" t="n">
        <f aca="false">G5*Parámetros!$B$11</f>
        <v>4</v>
      </c>
      <c r="I5" s="22" t="s">
        <v>52</v>
      </c>
    </row>
    <row r="6" customFormat="false" ht="84.75" hidden="false" customHeight="true" outlineLevel="0" collapsed="false">
      <c r="A6" s="11" t="s">
        <v>53</v>
      </c>
      <c r="B6" s="21" t="s">
        <v>6</v>
      </c>
      <c r="C6" s="22" t="s">
        <v>54</v>
      </c>
      <c r="D6" s="22" t="s">
        <v>55</v>
      </c>
      <c r="E6" s="22" t="s">
        <v>56</v>
      </c>
      <c r="F6" s="17" t="n">
        <v>2</v>
      </c>
      <c r="G6" s="5" t="n">
        <f aca="false">INDEX(Parámetros!$B$5:$B$9,MATCH(F6,Parámetros!$A$5:$A$9,0))</f>
        <v>4</v>
      </c>
      <c r="H6" s="6" t="n">
        <f aca="false">G6*Parámetros!$B$11</f>
        <v>2</v>
      </c>
      <c r="I6" s="22" t="s">
        <v>57</v>
      </c>
    </row>
    <row r="7" customFormat="false" ht="111" hidden="false" customHeight="true" outlineLevel="0" collapsed="false">
      <c r="A7" s="11" t="s">
        <v>58</v>
      </c>
      <c r="B7" s="23" t="s">
        <v>7</v>
      </c>
      <c r="C7" s="22" t="s">
        <v>59</v>
      </c>
      <c r="D7" s="22" t="s">
        <v>60</v>
      </c>
      <c r="E7" s="22" t="s">
        <v>61</v>
      </c>
      <c r="F7" s="17" t="n">
        <v>5</v>
      </c>
      <c r="G7" s="5" t="n">
        <f aca="false">INDEX(Parámetros!$B$5:$B$9,MATCH(F7,Parámetros!$A$5:$A$9,0))</f>
        <v>14</v>
      </c>
      <c r="H7" s="6" t="n">
        <f aca="false">G7*Parámetros!$B$11</f>
        <v>7</v>
      </c>
      <c r="I7" s="22" t="s">
        <v>62</v>
      </c>
    </row>
    <row r="8" customFormat="false" ht="98.25" hidden="false" customHeight="true" outlineLevel="0" collapsed="false">
      <c r="A8" s="11" t="s">
        <v>63</v>
      </c>
      <c r="B8" s="23" t="s">
        <v>7</v>
      </c>
      <c r="C8" s="22" t="s">
        <v>64</v>
      </c>
      <c r="D8" s="22" t="s">
        <v>65</v>
      </c>
      <c r="E8" s="22" t="s">
        <v>66</v>
      </c>
      <c r="F8" s="17" t="n">
        <v>5</v>
      </c>
      <c r="G8" s="5" t="n">
        <f aca="false">INDEX(Parámetros!$B$5:$B$9,MATCH(F8,Parámetros!$A$5:$A$9,0))</f>
        <v>14</v>
      </c>
      <c r="H8" s="6" t="n">
        <f aca="false">G8*Parámetros!$B$11</f>
        <v>7</v>
      </c>
      <c r="I8" s="22" t="s">
        <v>67</v>
      </c>
    </row>
    <row r="9" customFormat="false" ht="72" hidden="false" customHeight="true" outlineLevel="0" collapsed="false">
      <c r="A9" s="11" t="s">
        <v>68</v>
      </c>
      <c r="B9" s="23" t="s">
        <v>7</v>
      </c>
      <c r="C9" s="22" t="s">
        <v>69</v>
      </c>
      <c r="D9" s="22" t="s">
        <v>70</v>
      </c>
      <c r="E9" s="22" t="s">
        <v>71</v>
      </c>
      <c r="F9" s="17" t="n">
        <v>3</v>
      </c>
      <c r="G9" s="5" t="n">
        <f aca="false">INDEX(Parámetros!$B$5:$B$9,MATCH(F9,Parámetros!$A$5:$A$9,0))</f>
        <v>8</v>
      </c>
      <c r="H9" s="6" t="n">
        <f aca="false">G9*Parámetros!$B$11</f>
        <v>4</v>
      </c>
      <c r="I9" s="22" t="s">
        <v>72</v>
      </c>
    </row>
    <row r="10" customFormat="false" ht="58.5" hidden="false" customHeight="true" outlineLevel="0" collapsed="false">
      <c r="A10" s="11" t="s">
        <v>73</v>
      </c>
      <c r="B10" s="23" t="s">
        <v>7</v>
      </c>
      <c r="C10" s="22" t="s">
        <v>74</v>
      </c>
      <c r="D10" s="22" t="s">
        <v>75</v>
      </c>
      <c r="E10" s="22" t="s">
        <v>76</v>
      </c>
      <c r="F10" s="17" t="n">
        <v>5</v>
      </c>
      <c r="G10" s="5" t="n">
        <f aca="false">INDEX(Parámetros!$B$5:$B$9,MATCH(F10,Parámetros!$A$5:$A$9,0))</f>
        <v>14</v>
      </c>
      <c r="H10" s="6" t="n">
        <f aca="false">G10*Parámetros!$B$11</f>
        <v>7</v>
      </c>
      <c r="I10" s="22" t="s">
        <v>77</v>
      </c>
    </row>
    <row r="11" customFormat="false" ht="84.75" hidden="false" customHeight="true" outlineLevel="0" collapsed="false">
      <c r="A11" s="11" t="s">
        <v>78</v>
      </c>
      <c r="B11" s="23" t="s">
        <v>7</v>
      </c>
      <c r="C11" s="22" t="s">
        <v>79</v>
      </c>
      <c r="D11" s="22" t="s">
        <v>80</v>
      </c>
      <c r="E11" s="22" t="s">
        <v>81</v>
      </c>
      <c r="F11" s="17" t="n">
        <v>3</v>
      </c>
      <c r="G11" s="5" t="n">
        <f aca="false">INDEX(Parámetros!$B$5:$B$9,MATCH(F11,Parámetros!$A$5:$A$9,0))</f>
        <v>8</v>
      </c>
      <c r="H11" s="6" t="n">
        <f aca="false">G11*Parámetros!$B$11</f>
        <v>4</v>
      </c>
      <c r="I11" s="22" t="s">
        <v>82</v>
      </c>
    </row>
    <row r="12" customFormat="false" ht="58.5" hidden="false" customHeight="true" outlineLevel="0" collapsed="false">
      <c r="A12" s="11" t="s">
        <v>83</v>
      </c>
      <c r="B12" s="23" t="s">
        <v>7</v>
      </c>
      <c r="C12" s="22" t="s">
        <v>84</v>
      </c>
      <c r="D12" s="22" t="s">
        <v>85</v>
      </c>
      <c r="E12" s="22" t="s">
        <v>86</v>
      </c>
      <c r="F12" s="17" t="n">
        <v>3</v>
      </c>
      <c r="G12" s="5" t="n">
        <f aca="false">INDEX(Parámetros!$B$5:$B$9,MATCH(F12,Parámetros!$A$5:$A$9,0))</f>
        <v>8</v>
      </c>
      <c r="H12" s="6" t="n">
        <f aca="false">G12*Parámetros!$B$11</f>
        <v>4</v>
      </c>
      <c r="I12" s="22" t="s">
        <v>87</v>
      </c>
    </row>
    <row r="13" customFormat="false" ht="84.75" hidden="false" customHeight="true" outlineLevel="0" collapsed="false">
      <c r="A13" s="11" t="s">
        <v>88</v>
      </c>
      <c r="B13" s="23" t="s">
        <v>7</v>
      </c>
      <c r="C13" s="22" t="s">
        <v>89</v>
      </c>
      <c r="D13" s="22" t="s">
        <v>90</v>
      </c>
      <c r="E13" s="22" t="s">
        <v>91</v>
      </c>
      <c r="F13" s="17" t="n">
        <v>5</v>
      </c>
      <c r="G13" s="5" t="n">
        <f aca="false">INDEX(Parámetros!$B$5:$B$9,MATCH(F13,Parámetros!$A$5:$A$9,0))</f>
        <v>14</v>
      </c>
      <c r="H13" s="6" t="n">
        <f aca="false">G13*Parámetros!$B$11</f>
        <v>7</v>
      </c>
      <c r="I13" s="22" t="s">
        <v>92</v>
      </c>
    </row>
    <row r="14" customFormat="false" ht="84.75" hidden="false" customHeight="true" outlineLevel="0" collapsed="false">
      <c r="A14" s="11" t="s">
        <v>93</v>
      </c>
      <c r="B14" s="24" t="s">
        <v>8</v>
      </c>
      <c r="C14" s="22" t="s">
        <v>94</v>
      </c>
      <c r="D14" s="22" t="s">
        <v>95</v>
      </c>
      <c r="E14" s="22" t="s">
        <v>96</v>
      </c>
      <c r="F14" s="17" t="n">
        <v>5</v>
      </c>
      <c r="G14" s="5" t="n">
        <f aca="false">INDEX(Parámetros!$B$5:$B$9,MATCH(F14,Parámetros!$A$5:$A$9,0))</f>
        <v>14</v>
      </c>
      <c r="H14" s="6" t="n">
        <f aca="false">G14*Parámetros!$B$11</f>
        <v>7</v>
      </c>
      <c r="I14" s="22" t="s">
        <v>97</v>
      </c>
    </row>
    <row r="15" customFormat="false" ht="84.75" hidden="false" customHeight="true" outlineLevel="0" collapsed="false">
      <c r="A15" s="11" t="s">
        <v>98</v>
      </c>
      <c r="B15" s="24" t="s">
        <v>8</v>
      </c>
      <c r="C15" s="22" t="s">
        <v>99</v>
      </c>
      <c r="D15" s="22" t="s">
        <v>100</v>
      </c>
      <c r="E15" s="22" t="s">
        <v>101</v>
      </c>
      <c r="F15" s="17" t="n">
        <v>5</v>
      </c>
      <c r="G15" s="5" t="n">
        <f aca="false">INDEX(Parámetros!$B$5:$B$9,MATCH(F15,Parámetros!$A$5:$A$9,0))</f>
        <v>14</v>
      </c>
      <c r="H15" s="6" t="n">
        <f aca="false">G15*Parámetros!$B$11</f>
        <v>7</v>
      </c>
      <c r="I15" s="22" t="s">
        <v>102</v>
      </c>
    </row>
    <row r="16" customFormat="false" ht="111" hidden="false" customHeight="true" outlineLevel="0" collapsed="false">
      <c r="A16" s="11" t="s">
        <v>103</v>
      </c>
      <c r="B16" s="24" t="s">
        <v>8</v>
      </c>
      <c r="C16" s="22" t="s">
        <v>104</v>
      </c>
      <c r="D16" s="22" t="s">
        <v>105</v>
      </c>
      <c r="E16" s="22" t="s">
        <v>106</v>
      </c>
      <c r="F16" s="17" t="n">
        <v>3</v>
      </c>
      <c r="G16" s="5" t="n">
        <f aca="false">INDEX(Parámetros!$B$5:$B$9,MATCH(F16,Parámetros!$A$5:$A$9,0))</f>
        <v>8</v>
      </c>
      <c r="H16" s="6" t="n">
        <f aca="false">G16*Parámetros!$B$11</f>
        <v>4</v>
      </c>
      <c r="I16" s="22" t="s">
        <v>107</v>
      </c>
    </row>
    <row r="17" customFormat="false" ht="72" hidden="false" customHeight="true" outlineLevel="0" collapsed="false">
      <c r="A17" s="11" t="s">
        <v>108</v>
      </c>
      <c r="B17" s="24" t="s">
        <v>8</v>
      </c>
      <c r="C17" s="22" t="s">
        <v>109</v>
      </c>
      <c r="D17" s="22" t="s">
        <v>110</v>
      </c>
      <c r="E17" s="22" t="s">
        <v>111</v>
      </c>
      <c r="F17" s="17" t="n">
        <v>3</v>
      </c>
      <c r="G17" s="5" t="n">
        <f aca="false">INDEX(Parámetros!$B$5:$B$9,MATCH(F17,Parámetros!$A$5:$A$9,0))</f>
        <v>8</v>
      </c>
      <c r="H17" s="6" t="n">
        <f aca="false">G17*Parámetros!$B$11</f>
        <v>4</v>
      </c>
      <c r="I17" s="22" t="s">
        <v>112</v>
      </c>
    </row>
    <row r="18" customFormat="false" ht="72" hidden="false" customHeight="true" outlineLevel="0" collapsed="false">
      <c r="A18" s="11" t="s">
        <v>113</v>
      </c>
      <c r="B18" s="24" t="s">
        <v>8</v>
      </c>
      <c r="C18" s="22" t="s">
        <v>114</v>
      </c>
      <c r="D18" s="22" t="s">
        <v>115</v>
      </c>
      <c r="E18" s="22" t="s">
        <v>116</v>
      </c>
      <c r="F18" s="17" t="n">
        <v>5</v>
      </c>
      <c r="G18" s="5" t="n">
        <f aca="false">INDEX(Parámetros!$B$5:$B$9,MATCH(F18,Parámetros!$A$5:$A$9,0))</f>
        <v>14</v>
      </c>
      <c r="H18" s="6" t="n">
        <f aca="false">G18*Parámetros!$B$11</f>
        <v>7</v>
      </c>
      <c r="I18" s="22" t="s">
        <v>117</v>
      </c>
    </row>
    <row r="19" customFormat="false" ht="58.5" hidden="false" customHeight="true" outlineLevel="0" collapsed="false">
      <c r="A19" s="11" t="s">
        <v>118</v>
      </c>
      <c r="B19" s="24" t="s">
        <v>8</v>
      </c>
      <c r="C19" s="22" t="s">
        <v>119</v>
      </c>
      <c r="D19" s="22" t="s">
        <v>120</v>
      </c>
      <c r="E19" s="22" t="s">
        <v>121</v>
      </c>
      <c r="F19" s="17" t="n">
        <v>5</v>
      </c>
      <c r="G19" s="5" t="n">
        <f aca="false">INDEX(Parámetros!$B$5:$B$9,MATCH(F19,Parámetros!$A$5:$A$9,0))</f>
        <v>14</v>
      </c>
      <c r="H19" s="6" t="n">
        <f aca="false">G19*Parámetros!$B$11</f>
        <v>7</v>
      </c>
      <c r="I19" s="22" t="s">
        <v>122</v>
      </c>
    </row>
    <row r="20" customFormat="false" ht="72" hidden="false" customHeight="true" outlineLevel="0" collapsed="false">
      <c r="A20" s="11" t="s">
        <v>123</v>
      </c>
      <c r="B20" s="25" t="s">
        <v>9</v>
      </c>
      <c r="C20" s="22" t="s">
        <v>124</v>
      </c>
      <c r="D20" s="22" t="s">
        <v>125</v>
      </c>
      <c r="E20" s="22" t="s">
        <v>126</v>
      </c>
      <c r="F20" s="17" t="n">
        <v>5</v>
      </c>
      <c r="G20" s="5" t="n">
        <f aca="false">INDEX(Parámetros!$B$5:$B$9,MATCH(F20,Parámetros!$A$5:$A$9,0))</f>
        <v>14</v>
      </c>
      <c r="H20" s="6" t="n">
        <f aca="false">G20*Parámetros!$B$11</f>
        <v>7</v>
      </c>
      <c r="I20" s="22" t="s">
        <v>127</v>
      </c>
    </row>
    <row r="21" customFormat="false" ht="84.75" hidden="false" customHeight="true" outlineLevel="0" collapsed="false">
      <c r="A21" s="11" t="s">
        <v>128</v>
      </c>
      <c r="B21" s="25" t="s">
        <v>9</v>
      </c>
      <c r="C21" s="22" t="s">
        <v>129</v>
      </c>
      <c r="D21" s="22" t="s">
        <v>130</v>
      </c>
      <c r="E21" s="22" t="s">
        <v>131</v>
      </c>
      <c r="F21" s="17" t="n">
        <v>5</v>
      </c>
      <c r="G21" s="5" t="n">
        <f aca="false">INDEX(Parámetros!$B$5:$B$9,MATCH(F21,Parámetros!$A$5:$A$9,0))</f>
        <v>14</v>
      </c>
      <c r="H21" s="6" t="n">
        <f aca="false">G21*Parámetros!$B$11</f>
        <v>7</v>
      </c>
      <c r="I21" s="22" t="s">
        <v>132</v>
      </c>
    </row>
    <row r="22" customFormat="false" ht="72" hidden="false" customHeight="true" outlineLevel="0" collapsed="false">
      <c r="A22" s="11" t="s">
        <v>133</v>
      </c>
      <c r="B22" s="25" t="s">
        <v>9</v>
      </c>
      <c r="C22" s="22" t="s">
        <v>134</v>
      </c>
      <c r="D22" s="22" t="s">
        <v>135</v>
      </c>
      <c r="E22" s="22" t="s">
        <v>136</v>
      </c>
      <c r="F22" s="17" t="n">
        <v>5</v>
      </c>
      <c r="G22" s="5" t="n">
        <f aca="false">INDEX(Parámetros!$B$5:$B$9,MATCH(F22,Parámetros!$A$5:$A$9,0))</f>
        <v>14</v>
      </c>
      <c r="H22" s="6" t="n">
        <f aca="false">G22*Parámetros!$B$11</f>
        <v>7</v>
      </c>
      <c r="I22" s="22" t="s">
        <v>137</v>
      </c>
    </row>
    <row r="23" customFormat="false" ht="72" hidden="false" customHeight="true" outlineLevel="0" collapsed="false">
      <c r="A23" s="11" t="s">
        <v>138</v>
      </c>
      <c r="B23" s="25" t="s">
        <v>9</v>
      </c>
      <c r="C23" s="22" t="s">
        <v>139</v>
      </c>
      <c r="D23" s="22" t="s">
        <v>140</v>
      </c>
      <c r="E23" s="22" t="s">
        <v>141</v>
      </c>
      <c r="F23" s="17" t="n">
        <v>5</v>
      </c>
      <c r="G23" s="5" t="n">
        <f aca="false">INDEX(Parámetros!$B$5:$B$9,MATCH(F23,Parámetros!$A$5:$A$9,0))</f>
        <v>14</v>
      </c>
      <c r="H23" s="6" t="n">
        <f aca="false">G23*Parámetros!$B$11</f>
        <v>7</v>
      </c>
      <c r="I23" s="22" t="s">
        <v>142</v>
      </c>
    </row>
    <row r="24" customFormat="false" ht="111" hidden="false" customHeight="true" outlineLevel="0" collapsed="false">
      <c r="A24" s="11" t="s">
        <v>143</v>
      </c>
      <c r="B24" s="25" t="s">
        <v>9</v>
      </c>
      <c r="C24" s="22" t="s">
        <v>144</v>
      </c>
      <c r="D24" s="22" t="s">
        <v>145</v>
      </c>
      <c r="E24" s="22" t="s">
        <v>146</v>
      </c>
      <c r="F24" s="17" t="n">
        <v>8</v>
      </c>
      <c r="G24" s="5" t="n">
        <f aca="false">INDEX(Parámetros!$B$5:$B$9,MATCH(F24,Parámetros!$A$5:$A$9,0))</f>
        <v>24</v>
      </c>
      <c r="H24" s="6" t="n">
        <f aca="false">G24*Parámetros!$B$11</f>
        <v>12</v>
      </c>
      <c r="I24" s="22" t="s">
        <v>147</v>
      </c>
    </row>
    <row r="25" customFormat="false" ht="98.25" hidden="false" customHeight="true" outlineLevel="0" collapsed="false">
      <c r="A25" s="11" t="s">
        <v>148</v>
      </c>
      <c r="B25" s="25" t="s">
        <v>9</v>
      </c>
      <c r="C25" s="22" t="s">
        <v>149</v>
      </c>
      <c r="D25" s="22" t="s">
        <v>150</v>
      </c>
      <c r="E25" s="22" t="s">
        <v>151</v>
      </c>
      <c r="F25" s="17" t="n">
        <v>5</v>
      </c>
      <c r="G25" s="5" t="n">
        <f aca="false">INDEX(Parámetros!$B$5:$B$9,MATCH(F25,Parámetros!$A$5:$A$9,0))</f>
        <v>14</v>
      </c>
      <c r="H25" s="6" t="n">
        <f aca="false">G25*Parámetros!$B$11</f>
        <v>7</v>
      </c>
      <c r="I25" s="22" t="s">
        <v>152</v>
      </c>
    </row>
    <row r="26" customFormat="false" ht="58.5" hidden="false" customHeight="true" outlineLevel="0" collapsed="false">
      <c r="A26" s="11" t="s">
        <v>153</v>
      </c>
      <c r="B26" s="25" t="s">
        <v>9</v>
      </c>
      <c r="C26" s="22" t="s">
        <v>154</v>
      </c>
      <c r="D26" s="22" t="s">
        <v>155</v>
      </c>
      <c r="E26" s="22" t="s">
        <v>156</v>
      </c>
      <c r="F26" s="17" t="n">
        <v>5</v>
      </c>
      <c r="G26" s="5" t="n">
        <f aca="false">INDEX(Parámetros!$B$5:$B$9,MATCH(F26,Parámetros!$A$5:$A$9,0))</f>
        <v>14</v>
      </c>
      <c r="H26" s="6" t="n">
        <f aca="false">G26*Parámetros!$B$11</f>
        <v>7</v>
      </c>
      <c r="I26" s="22" t="s">
        <v>157</v>
      </c>
    </row>
    <row r="27" customFormat="false" ht="84.75" hidden="false" customHeight="true" outlineLevel="0" collapsed="false">
      <c r="A27" s="11" t="s">
        <v>158</v>
      </c>
      <c r="B27" s="25" t="s">
        <v>9</v>
      </c>
      <c r="C27" s="22" t="s">
        <v>159</v>
      </c>
      <c r="D27" s="22" t="s">
        <v>160</v>
      </c>
      <c r="E27" s="22" t="s">
        <v>161</v>
      </c>
      <c r="F27" s="17" t="n">
        <v>5</v>
      </c>
      <c r="G27" s="5" t="n">
        <f aca="false">INDEX(Parámetros!$B$5:$B$9,MATCH(F27,Parámetros!$A$5:$A$9,0))</f>
        <v>14</v>
      </c>
      <c r="H27" s="6" t="n">
        <f aca="false">G27*Parámetros!$B$11</f>
        <v>7</v>
      </c>
      <c r="I27" s="22" t="s">
        <v>162</v>
      </c>
    </row>
    <row r="28" customFormat="false" ht="15" hidden="false" customHeight="false" outlineLevel="0" collapsed="false">
      <c r="C28" s="13" t="s">
        <v>10</v>
      </c>
      <c r="F28" s="11" t="n">
        <f aca="false">SUM(F2:F27)</f>
        <v>116</v>
      </c>
      <c r="G28" s="11" t="n">
        <f aca="false">SUM(G2:G27)</f>
        <v>322</v>
      </c>
      <c r="H28" s="12" t="n">
        <f aca="false">SUM(H2:H27)</f>
        <v>161</v>
      </c>
    </row>
  </sheetData>
  <autoFilter ref="A1:I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40"/>
    <col collapsed="false" customWidth="true" hidden="false" outlineLevel="0" max="4" min="4" style="1" width="11"/>
    <col collapsed="false" customWidth="true" hidden="false" outlineLevel="0" max="5" min="5" style="1" width="80"/>
  </cols>
  <sheetData>
    <row r="1" customFormat="false" ht="15" hidden="false" customHeight="true" outlineLevel="0" collapsed="false">
      <c r="A1" s="20" t="s">
        <v>163</v>
      </c>
      <c r="B1" s="20" t="s">
        <v>164</v>
      </c>
      <c r="C1" s="20" t="s">
        <v>165</v>
      </c>
      <c r="D1" s="20" t="s">
        <v>166</v>
      </c>
      <c r="E1" s="20" t="s">
        <v>167</v>
      </c>
    </row>
    <row r="2" customFormat="false" ht="15" hidden="false" customHeight="true" outlineLevel="0" collapsed="false">
      <c r="A2" s="5" t="s">
        <v>168</v>
      </c>
      <c r="B2" s="5" t="s">
        <v>33</v>
      </c>
      <c r="C2" s="22" t="s">
        <v>34</v>
      </c>
      <c r="D2" s="5" t="s">
        <v>23</v>
      </c>
      <c r="E2" s="22" t="s">
        <v>169</v>
      </c>
    </row>
    <row r="3" customFormat="false" ht="15" hidden="false" customHeight="true" outlineLevel="0" collapsed="false">
      <c r="A3" s="5" t="s">
        <v>170</v>
      </c>
      <c r="B3" s="5" t="s">
        <v>33</v>
      </c>
      <c r="C3" s="22" t="s">
        <v>34</v>
      </c>
      <c r="D3" s="5" t="s">
        <v>23</v>
      </c>
      <c r="E3" s="22" t="s">
        <v>171</v>
      </c>
    </row>
    <row r="4" customFormat="false" ht="15" hidden="false" customHeight="true" outlineLevel="0" collapsed="false">
      <c r="A4" s="5" t="s">
        <v>172</v>
      </c>
      <c r="B4" s="5" t="s">
        <v>33</v>
      </c>
      <c r="C4" s="22" t="s">
        <v>34</v>
      </c>
      <c r="D4" s="5" t="s">
        <v>25</v>
      </c>
      <c r="E4" s="22" t="s">
        <v>173</v>
      </c>
    </row>
    <row r="5" customFormat="false" ht="15" hidden="false" customHeight="true" outlineLevel="0" collapsed="false">
      <c r="A5" s="5" t="s">
        <v>174</v>
      </c>
      <c r="B5" s="5" t="s">
        <v>33</v>
      </c>
      <c r="C5" s="22" t="s">
        <v>34</v>
      </c>
      <c r="D5" s="5" t="s">
        <v>25</v>
      </c>
      <c r="E5" s="22" t="s">
        <v>175</v>
      </c>
    </row>
    <row r="6" customFormat="false" ht="15" hidden="false" customHeight="true" outlineLevel="0" collapsed="false">
      <c r="A6" s="5" t="s">
        <v>176</v>
      </c>
      <c r="B6" s="5" t="s">
        <v>33</v>
      </c>
      <c r="C6" s="22" t="s">
        <v>34</v>
      </c>
      <c r="D6" s="5" t="s">
        <v>23</v>
      </c>
      <c r="E6" s="22" t="s">
        <v>177</v>
      </c>
    </row>
    <row r="7" customFormat="false" ht="15" hidden="false" customHeight="true" outlineLevel="0" collapsed="false">
      <c r="A7" s="5" t="s">
        <v>178</v>
      </c>
      <c r="B7" s="5" t="s">
        <v>38</v>
      </c>
      <c r="C7" s="22" t="s">
        <v>39</v>
      </c>
      <c r="D7" s="5" t="s">
        <v>23</v>
      </c>
      <c r="E7" s="22" t="s">
        <v>179</v>
      </c>
    </row>
    <row r="8" customFormat="false" ht="15" hidden="false" customHeight="true" outlineLevel="0" collapsed="false">
      <c r="A8" s="5" t="s">
        <v>180</v>
      </c>
      <c r="B8" s="5" t="s">
        <v>38</v>
      </c>
      <c r="C8" s="22" t="s">
        <v>39</v>
      </c>
      <c r="D8" s="5" t="s">
        <v>23</v>
      </c>
      <c r="E8" s="22" t="s">
        <v>181</v>
      </c>
    </row>
    <row r="9" customFormat="false" ht="15" hidden="false" customHeight="true" outlineLevel="0" collapsed="false">
      <c r="A9" s="5" t="s">
        <v>182</v>
      </c>
      <c r="B9" s="5" t="s">
        <v>38</v>
      </c>
      <c r="C9" s="22" t="s">
        <v>39</v>
      </c>
      <c r="D9" s="5" t="s">
        <v>25</v>
      </c>
      <c r="E9" s="22" t="s">
        <v>183</v>
      </c>
    </row>
    <row r="10" customFormat="false" ht="15" hidden="false" customHeight="true" outlineLevel="0" collapsed="false">
      <c r="A10" s="5" t="s">
        <v>184</v>
      </c>
      <c r="B10" s="5" t="s">
        <v>38</v>
      </c>
      <c r="C10" s="22" t="s">
        <v>39</v>
      </c>
      <c r="D10" s="5" t="s">
        <v>25</v>
      </c>
      <c r="E10" s="22" t="s">
        <v>185</v>
      </c>
    </row>
    <row r="11" customFormat="false" ht="15" hidden="false" customHeight="true" outlineLevel="0" collapsed="false">
      <c r="A11" s="5" t="s">
        <v>186</v>
      </c>
      <c r="B11" s="5" t="s">
        <v>38</v>
      </c>
      <c r="C11" s="22" t="s">
        <v>39</v>
      </c>
      <c r="D11" s="5" t="s">
        <v>23</v>
      </c>
      <c r="E11" s="22" t="s">
        <v>187</v>
      </c>
    </row>
    <row r="12" customFormat="false" ht="15" hidden="false" customHeight="true" outlineLevel="0" collapsed="false">
      <c r="A12" s="5" t="s">
        <v>188</v>
      </c>
      <c r="B12" s="5" t="s">
        <v>43</v>
      </c>
      <c r="C12" s="22" t="s">
        <v>44</v>
      </c>
      <c r="D12" s="5" t="s">
        <v>23</v>
      </c>
      <c r="E12" s="22" t="s">
        <v>189</v>
      </c>
    </row>
    <row r="13" customFormat="false" ht="15" hidden="false" customHeight="true" outlineLevel="0" collapsed="false">
      <c r="A13" s="5" t="s">
        <v>190</v>
      </c>
      <c r="B13" s="5" t="s">
        <v>43</v>
      </c>
      <c r="C13" s="22" t="s">
        <v>44</v>
      </c>
      <c r="D13" s="5" t="s">
        <v>25</v>
      </c>
      <c r="E13" s="22" t="s">
        <v>191</v>
      </c>
    </row>
    <row r="14" customFormat="false" ht="15" hidden="false" customHeight="true" outlineLevel="0" collapsed="false">
      <c r="A14" s="5" t="s">
        <v>192</v>
      </c>
      <c r="B14" s="5" t="s">
        <v>43</v>
      </c>
      <c r="C14" s="22" t="s">
        <v>44</v>
      </c>
      <c r="D14" s="5" t="s">
        <v>25</v>
      </c>
      <c r="E14" s="22" t="s">
        <v>193</v>
      </c>
    </row>
    <row r="15" customFormat="false" ht="15" hidden="false" customHeight="true" outlineLevel="0" collapsed="false">
      <c r="A15" s="5" t="s">
        <v>194</v>
      </c>
      <c r="B15" s="5" t="s">
        <v>43</v>
      </c>
      <c r="C15" s="22" t="s">
        <v>44</v>
      </c>
      <c r="D15" s="5" t="s">
        <v>23</v>
      </c>
      <c r="E15" s="22" t="s">
        <v>195</v>
      </c>
    </row>
    <row r="16" customFormat="false" ht="27.75" hidden="false" customHeight="true" outlineLevel="0" collapsed="false">
      <c r="A16" s="5" t="s">
        <v>196</v>
      </c>
      <c r="B16" s="5" t="s">
        <v>48</v>
      </c>
      <c r="C16" s="22" t="s">
        <v>49</v>
      </c>
      <c r="D16" s="5" t="s">
        <v>23</v>
      </c>
      <c r="E16" s="22" t="s">
        <v>197</v>
      </c>
    </row>
    <row r="17" customFormat="false" ht="27.75" hidden="false" customHeight="true" outlineLevel="0" collapsed="false">
      <c r="A17" s="5" t="s">
        <v>198</v>
      </c>
      <c r="B17" s="5" t="s">
        <v>48</v>
      </c>
      <c r="C17" s="22" t="s">
        <v>49</v>
      </c>
      <c r="D17" s="5" t="s">
        <v>25</v>
      </c>
      <c r="E17" s="22" t="s">
        <v>199</v>
      </c>
    </row>
    <row r="18" customFormat="false" ht="27.75" hidden="false" customHeight="true" outlineLevel="0" collapsed="false">
      <c r="A18" s="5" t="s">
        <v>200</v>
      </c>
      <c r="B18" s="5" t="s">
        <v>48</v>
      </c>
      <c r="C18" s="22" t="s">
        <v>49</v>
      </c>
      <c r="D18" s="5" t="s">
        <v>25</v>
      </c>
      <c r="E18" s="22" t="s">
        <v>201</v>
      </c>
    </row>
    <row r="19" customFormat="false" ht="27.75" hidden="false" customHeight="true" outlineLevel="0" collapsed="false">
      <c r="A19" s="5" t="s">
        <v>202</v>
      </c>
      <c r="B19" s="5" t="s">
        <v>48</v>
      </c>
      <c r="C19" s="22" t="s">
        <v>49</v>
      </c>
      <c r="D19" s="5" t="s">
        <v>23</v>
      </c>
      <c r="E19" s="22" t="s">
        <v>203</v>
      </c>
    </row>
    <row r="20" customFormat="false" ht="27.75" hidden="false" customHeight="true" outlineLevel="0" collapsed="false">
      <c r="A20" s="5" t="s">
        <v>204</v>
      </c>
      <c r="B20" s="5" t="s">
        <v>53</v>
      </c>
      <c r="C20" s="22" t="s">
        <v>54</v>
      </c>
      <c r="D20" s="5" t="s">
        <v>23</v>
      </c>
      <c r="E20" s="22" t="s">
        <v>205</v>
      </c>
    </row>
    <row r="21" customFormat="false" ht="27.75" hidden="false" customHeight="true" outlineLevel="0" collapsed="false">
      <c r="A21" s="5" t="s">
        <v>206</v>
      </c>
      <c r="B21" s="5" t="s">
        <v>53</v>
      </c>
      <c r="C21" s="22" t="s">
        <v>54</v>
      </c>
      <c r="D21" s="5" t="s">
        <v>25</v>
      </c>
      <c r="E21" s="22" t="s">
        <v>207</v>
      </c>
    </row>
    <row r="22" customFormat="false" ht="27.75" hidden="false" customHeight="true" outlineLevel="0" collapsed="false">
      <c r="A22" s="5" t="s">
        <v>208</v>
      </c>
      <c r="B22" s="5" t="s">
        <v>53</v>
      </c>
      <c r="C22" s="22" t="s">
        <v>54</v>
      </c>
      <c r="D22" s="5" t="s">
        <v>23</v>
      </c>
      <c r="E22" s="22" t="s">
        <v>209</v>
      </c>
    </row>
    <row r="23" customFormat="false" ht="15" hidden="false" customHeight="true" outlineLevel="0" collapsed="false">
      <c r="A23" s="5" t="s">
        <v>210</v>
      </c>
      <c r="B23" s="5" t="s">
        <v>58</v>
      </c>
      <c r="C23" s="22" t="s">
        <v>59</v>
      </c>
      <c r="D23" s="5" t="s">
        <v>23</v>
      </c>
      <c r="E23" s="22" t="s">
        <v>211</v>
      </c>
    </row>
    <row r="24" customFormat="false" ht="15" hidden="false" customHeight="true" outlineLevel="0" collapsed="false">
      <c r="A24" s="5" t="s">
        <v>212</v>
      </c>
      <c r="B24" s="5" t="s">
        <v>58</v>
      </c>
      <c r="C24" s="22" t="s">
        <v>59</v>
      </c>
      <c r="D24" s="5" t="s">
        <v>23</v>
      </c>
      <c r="E24" s="22" t="s">
        <v>213</v>
      </c>
    </row>
    <row r="25" customFormat="false" ht="15" hidden="false" customHeight="true" outlineLevel="0" collapsed="false">
      <c r="A25" s="5" t="s">
        <v>214</v>
      </c>
      <c r="B25" s="5" t="s">
        <v>58</v>
      </c>
      <c r="C25" s="22" t="s">
        <v>59</v>
      </c>
      <c r="D25" s="5" t="s">
        <v>25</v>
      </c>
      <c r="E25" s="22" t="s">
        <v>215</v>
      </c>
    </row>
    <row r="26" customFormat="false" ht="15" hidden="false" customHeight="true" outlineLevel="0" collapsed="false">
      <c r="A26" s="5" t="s">
        <v>216</v>
      </c>
      <c r="B26" s="5" t="s">
        <v>58</v>
      </c>
      <c r="C26" s="22" t="s">
        <v>59</v>
      </c>
      <c r="D26" s="5" t="s">
        <v>25</v>
      </c>
      <c r="E26" s="22" t="s">
        <v>217</v>
      </c>
    </row>
    <row r="27" customFormat="false" ht="15" hidden="false" customHeight="true" outlineLevel="0" collapsed="false">
      <c r="A27" s="5" t="s">
        <v>218</v>
      </c>
      <c r="B27" s="5" t="s">
        <v>58</v>
      </c>
      <c r="C27" s="22" t="s">
        <v>59</v>
      </c>
      <c r="D27" s="5" t="s">
        <v>23</v>
      </c>
      <c r="E27" s="22" t="s">
        <v>219</v>
      </c>
    </row>
    <row r="28" customFormat="false" ht="15" hidden="false" customHeight="true" outlineLevel="0" collapsed="false">
      <c r="A28" s="5" t="s">
        <v>220</v>
      </c>
      <c r="B28" s="5" t="s">
        <v>63</v>
      </c>
      <c r="C28" s="22" t="s">
        <v>64</v>
      </c>
      <c r="D28" s="5" t="s">
        <v>23</v>
      </c>
      <c r="E28" s="22" t="s">
        <v>221</v>
      </c>
    </row>
    <row r="29" customFormat="false" ht="15" hidden="false" customHeight="true" outlineLevel="0" collapsed="false">
      <c r="A29" s="5" t="s">
        <v>222</v>
      </c>
      <c r="B29" s="5" t="s">
        <v>63</v>
      </c>
      <c r="C29" s="22" t="s">
        <v>64</v>
      </c>
      <c r="D29" s="5" t="s">
        <v>25</v>
      </c>
      <c r="E29" s="22" t="s">
        <v>223</v>
      </c>
    </row>
    <row r="30" customFormat="false" ht="15" hidden="false" customHeight="true" outlineLevel="0" collapsed="false">
      <c r="A30" s="5" t="s">
        <v>224</v>
      </c>
      <c r="B30" s="5" t="s">
        <v>63</v>
      </c>
      <c r="C30" s="22" t="s">
        <v>64</v>
      </c>
      <c r="D30" s="5" t="s">
        <v>25</v>
      </c>
      <c r="E30" s="22" t="s">
        <v>225</v>
      </c>
    </row>
    <row r="31" customFormat="false" ht="15" hidden="false" customHeight="true" outlineLevel="0" collapsed="false">
      <c r="A31" s="5" t="s">
        <v>226</v>
      </c>
      <c r="B31" s="5" t="s">
        <v>63</v>
      </c>
      <c r="C31" s="22" t="s">
        <v>64</v>
      </c>
      <c r="D31" s="5" t="s">
        <v>23</v>
      </c>
      <c r="E31" s="22" t="s">
        <v>227</v>
      </c>
    </row>
    <row r="32" customFormat="false" ht="27.75" hidden="false" customHeight="true" outlineLevel="0" collapsed="false">
      <c r="A32" s="5" t="s">
        <v>228</v>
      </c>
      <c r="B32" s="5" t="s">
        <v>68</v>
      </c>
      <c r="C32" s="22" t="s">
        <v>69</v>
      </c>
      <c r="D32" s="5" t="s">
        <v>23</v>
      </c>
      <c r="E32" s="22" t="s">
        <v>229</v>
      </c>
    </row>
    <row r="33" customFormat="false" ht="27.75" hidden="false" customHeight="true" outlineLevel="0" collapsed="false">
      <c r="A33" s="5" t="s">
        <v>230</v>
      </c>
      <c r="B33" s="5" t="s">
        <v>68</v>
      </c>
      <c r="C33" s="22" t="s">
        <v>69</v>
      </c>
      <c r="D33" s="5" t="s">
        <v>25</v>
      </c>
      <c r="E33" s="22" t="s">
        <v>231</v>
      </c>
    </row>
    <row r="34" customFormat="false" ht="27.75" hidden="false" customHeight="true" outlineLevel="0" collapsed="false">
      <c r="A34" s="5" t="s">
        <v>232</v>
      </c>
      <c r="B34" s="5" t="s">
        <v>68</v>
      </c>
      <c r="C34" s="22" t="s">
        <v>69</v>
      </c>
      <c r="D34" s="5" t="s">
        <v>25</v>
      </c>
      <c r="E34" s="22" t="s">
        <v>233</v>
      </c>
    </row>
    <row r="35" customFormat="false" ht="27.75" hidden="false" customHeight="true" outlineLevel="0" collapsed="false">
      <c r="A35" s="5" t="s">
        <v>234</v>
      </c>
      <c r="B35" s="5" t="s">
        <v>68</v>
      </c>
      <c r="C35" s="22" t="s">
        <v>69</v>
      </c>
      <c r="D35" s="5" t="s">
        <v>23</v>
      </c>
      <c r="E35" s="22" t="s">
        <v>235</v>
      </c>
    </row>
    <row r="36" customFormat="false" ht="27.75" hidden="false" customHeight="true" outlineLevel="0" collapsed="false">
      <c r="A36" s="5" t="s">
        <v>236</v>
      </c>
      <c r="B36" s="5" t="s">
        <v>73</v>
      </c>
      <c r="C36" s="22" t="s">
        <v>74</v>
      </c>
      <c r="D36" s="5" t="s">
        <v>23</v>
      </c>
      <c r="E36" s="22" t="s">
        <v>237</v>
      </c>
    </row>
    <row r="37" customFormat="false" ht="27.75" hidden="false" customHeight="true" outlineLevel="0" collapsed="false">
      <c r="A37" s="5" t="s">
        <v>238</v>
      </c>
      <c r="B37" s="5" t="s">
        <v>73</v>
      </c>
      <c r="C37" s="22" t="s">
        <v>74</v>
      </c>
      <c r="D37" s="5" t="s">
        <v>25</v>
      </c>
      <c r="E37" s="22" t="s">
        <v>239</v>
      </c>
    </row>
    <row r="38" customFormat="false" ht="27.75" hidden="false" customHeight="true" outlineLevel="0" collapsed="false">
      <c r="A38" s="5" t="s">
        <v>240</v>
      </c>
      <c r="B38" s="5" t="s">
        <v>73</v>
      </c>
      <c r="C38" s="22" t="s">
        <v>74</v>
      </c>
      <c r="D38" s="5" t="s">
        <v>25</v>
      </c>
      <c r="E38" s="22" t="s">
        <v>241</v>
      </c>
    </row>
    <row r="39" customFormat="false" ht="27.75" hidden="false" customHeight="true" outlineLevel="0" collapsed="false">
      <c r="A39" s="5" t="s">
        <v>242</v>
      </c>
      <c r="B39" s="5" t="s">
        <v>73</v>
      </c>
      <c r="C39" s="22" t="s">
        <v>74</v>
      </c>
      <c r="D39" s="5" t="s">
        <v>23</v>
      </c>
      <c r="E39" s="22" t="s">
        <v>243</v>
      </c>
    </row>
    <row r="40" customFormat="false" ht="15" hidden="false" customHeight="true" outlineLevel="0" collapsed="false">
      <c r="A40" s="5" t="s">
        <v>244</v>
      </c>
      <c r="B40" s="5" t="s">
        <v>78</v>
      </c>
      <c r="C40" s="22" t="s">
        <v>79</v>
      </c>
      <c r="D40" s="5" t="s">
        <v>23</v>
      </c>
      <c r="E40" s="22" t="s">
        <v>245</v>
      </c>
    </row>
    <row r="41" customFormat="false" ht="15" hidden="false" customHeight="true" outlineLevel="0" collapsed="false">
      <c r="A41" s="5" t="s">
        <v>246</v>
      </c>
      <c r="B41" s="5" t="s">
        <v>78</v>
      </c>
      <c r="C41" s="22" t="s">
        <v>79</v>
      </c>
      <c r="D41" s="5" t="s">
        <v>25</v>
      </c>
      <c r="E41" s="22" t="s">
        <v>247</v>
      </c>
    </row>
    <row r="42" customFormat="false" ht="15" hidden="false" customHeight="true" outlineLevel="0" collapsed="false">
      <c r="A42" s="5" t="s">
        <v>248</v>
      </c>
      <c r="B42" s="5" t="s">
        <v>78</v>
      </c>
      <c r="C42" s="22" t="s">
        <v>79</v>
      </c>
      <c r="D42" s="5" t="s">
        <v>25</v>
      </c>
      <c r="E42" s="22" t="s">
        <v>249</v>
      </c>
    </row>
    <row r="43" customFormat="false" ht="15" hidden="false" customHeight="true" outlineLevel="0" collapsed="false">
      <c r="A43" s="5" t="s">
        <v>250</v>
      </c>
      <c r="B43" s="5" t="s">
        <v>78</v>
      </c>
      <c r="C43" s="22" t="s">
        <v>79</v>
      </c>
      <c r="D43" s="5" t="s">
        <v>23</v>
      </c>
      <c r="E43" s="22" t="s">
        <v>251</v>
      </c>
    </row>
    <row r="44" customFormat="false" ht="27.75" hidden="false" customHeight="true" outlineLevel="0" collapsed="false">
      <c r="A44" s="5" t="s">
        <v>252</v>
      </c>
      <c r="B44" s="5" t="s">
        <v>83</v>
      </c>
      <c r="C44" s="22" t="s">
        <v>84</v>
      </c>
      <c r="D44" s="5" t="s">
        <v>23</v>
      </c>
      <c r="E44" s="22" t="s">
        <v>253</v>
      </c>
    </row>
    <row r="45" customFormat="false" ht="27.75" hidden="false" customHeight="true" outlineLevel="0" collapsed="false">
      <c r="A45" s="5" t="s">
        <v>254</v>
      </c>
      <c r="B45" s="5" t="s">
        <v>83</v>
      </c>
      <c r="C45" s="22" t="s">
        <v>84</v>
      </c>
      <c r="D45" s="5" t="s">
        <v>25</v>
      </c>
      <c r="E45" s="22" t="s">
        <v>255</v>
      </c>
    </row>
    <row r="46" customFormat="false" ht="27.75" hidden="false" customHeight="true" outlineLevel="0" collapsed="false">
      <c r="A46" s="5" t="s">
        <v>256</v>
      </c>
      <c r="B46" s="5" t="s">
        <v>83</v>
      </c>
      <c r="C46" s="22" t="s">
        <v>84</v>
      </c>
      <c r="D46" s="5" t="s">
        <v>25</v>
      </c>
      <c r="E46" s="22" t="s">
        <v>257</v>
      </c>
    </row>
    <row r="47" customFormat="false" ht="27.75" hidden="false" customHeight="true" outlineLevel="0" collapsed="false">
      <c r="A47" s="5" t="s">
        <v>258</v>
      </c>
      <c r="B47" s="5" t="s">
        <v>83</v>
      </c>
      <c r="C47" s="22" t="s">
        <v>84</v>
      </c>
      <c r="D47" s="5" t="s">
        <v>23</v>
      </c>
      <c r="E47" s="22" t="s">
        <v>259</v>
      </c>
    </row>
    <row r="48" customFormat="false" ht="27.75" hidden="false" customHeight="true" outlineLevel="0" collapsed="false">
      <c r="A48" s="5" t="s">
        <v>260</v>
      </c>
      <c r="B48" s="5" t="s">
        <v>88</v>
      </c>
      <c r="C48" s="22" t="s">
        <v>89</v>
      </c>
      <c r="D48" s="5" t="s">
        <v>23</v>
      </c>
      <c r="E48" s="22" t="s">
        <v>261</v>
      </c>
    </row>
    <row r="49" customFormat="false" ht="27.75" hidden="false" customHeight="true" outlineLevel="0" collapsed="false">
      <c r="A49" s="5" t="s">
        <v>262</v>
      </c>
      <c r="B49" s="5" t="s">
        <v>88</v>
      </c>
      <c r="C49" s="22" t="s">
        <v>89</v>
      </c>
      <c r="D49" s="5" t="s">
        <v>25</v>
      </c>
      <c r="E49" s="22" t="s">
        <v>263</v>
      </c>
    </row>
    <row r="50" customFormat="false" ht="27.75" hidden="false" customHeight="true" outlineLevel="0" collapsed="false">
      <c r="A50" s="5" t="s">
        <v>264</v>
      </c>
      <c r="B50" s="5" t="s">
        <v>88</v>
      </c>
      <c r="C50" s="22" t="s">
        <v>89</v>
      </c>
      <c r="D50" s="5" t="s">
        <v>25</v>
      </c>
      <c r="E50" s="22" t="s">
        <v>265</v>
      </c>
    </row>
    <row r="51" customFormat="false" ht="27.75" hidden="false" customHeight="true" outlineLevel="0" collapsed="false">
      <c r="A51" s="5" t="s">
        <v>266</v>
      </c>
      <c r="B51" s="5" t="s">
        <v>88</v>
      </c>
      <c r="C51" s="22" t="s">
        <v>89</v>
      </c>
      <c r="D51" s="5" t="s">
        <v>23</v>
      </c>
      <c r="E51" s="22" t="s">
        <v>267</v>
      </c>
    </row>
    <row r="52" customFormat="false" ht="15" hidden="false" customHeight="true" outlineLevel="0" collapsed="false">
      <c r="A52" s="5" t="s">
        <v>268</v>
      </c>
      <c r="B52" s="5" t="s">
        <v>93</v>
      </c>
      <c r="C52" s="22" t="s">
        <v>94</v>
      </c>
      <c r="D52" s="5" t="s">
        <v>23</v>
      </c>
      <c r="E52" s="22" t="s">
        <v>269</v>
      </c>
    </row>
    <row r="53" customFormat="false" ht="15" hidden="false" customHeight="true" outlineLevel="0" collapsed="false">
      <c r="A53" s="5" t="s">
        <v>270</v>
      </c>
      <c r="B53" s="5" t="s">
        <v>93</v>
      </c>
      <c r="C53" s="22" t="s">
        <v>94</v>
      </c>
      <c r="D53" s="5" t="s">
        <v>25</v>
      </c>
      <c r="E53" s="22" t="s">
        <v>271</v>
      </c>
    </row>
    <row r="54" customFormat="false" ht="15" hidden="false" customHeight="true" outlineLevel="0" collapsed="false">
      <c r="A54" s="5" t="s">
        <v>272</v>
      </c>
      <c r="B54" s="5" t="s">
        <v>93</v>
      </c>
      <c r="C54" s="22" t="s">
        <v>94</v>
      </c>
      <c r="D54" s="5" t="s">
        <v>25</v>
      </c>
      <c r="E54" s="22" t="s">
        <v>273</v>
      </c>
    </row>
    <row r="55" customFormat="false" ht="15" hidden="false" customHeight="true" outlineLevel="0" collapsed="false">
      <c r="A55" s="5" t="s">
        <v>274</v>
      </c>
      <c r="B55" s="5" t="s">
        <v>93</v>
      </c>
      <c r="C55" s="22" t="s">
        <v>94</v>
      </c>
      <c r="D55" s="5" t="s">
        <v>23</v>
      </c>
      <c r="E55" s="22" t="s">
        <v>275</v>
      </c>
    </row>
    <row r="56" customFormat="false" ht="15" hidden="false" customHeight="true" outlineLevel="0" collapsed="false">
      <c r="A56" s="5" t="s">
        <v>276</v>
      </c>
      <c r="B56" s="5" t="s">
        <v>98</v>
      </c>
      <c r="C56" s="22" t="s">
        <v>99</v>
      </c>
      <c r="D56" s="5" t="s">
        <v>23</v>
      </c>
      <c r="E56" s="22" t="s">
        <v>277</v>
      </c>
    </row>
    <row r="57" customFormat="false" ht="15" hidden="false" customHeight="true" outlineLevel="0" collapsed="false">
      <c r="A57" s="5" t="s">
        <v>278</v>
      </c>
      <c r="B57" s="5" t="s">
        <v>98</v>
      </c>
      <c r="C57" s="22" t="s">
        <v>99</v>
      </c>
      <c r="D57" s="5" t="s">
        <v>23</v>
      </c>
      <c r="E57" s="22" t="s">
        <v>279</v>
      </c>
    </row>
    <row r="58" customFormat="false" ht="15" hidden="false" customHeight="true" outlineLevel="0" collapsed="false">
      <c r="A58" s="5" t="s">
        <v>280</v>
      </c>
      <c r="B58" s="5" t="s">
        <v>98</v>
      </c>
      <c r="C58" s="22" t="s">
        <v>99</v>
      </c>
      <c r="D58" s="5" t="s">
        <v>25</v>
      </c>
      <c r="E58" s="22" t="s">
        <v>281</v>
      </c>
    </row>
    <row r="59" customFormat="false" ht="15" hidden="false" customHeight="true" outlineLevel="0" collapsed="false">
      <c r="A59" s="5" t="s">
        <v>282</v>
      </c>
      <c r="B59" s="5" t="s">
        <v>98</v>
      </c>
      <c r="C59" s="22" t="s">
        <v>99</v>
      </c>
      <c r="D59" s="5" t="s">
        <v>25</v>
      </c>
      <c r="E59" s="22" t="s">
        <v>283</v>
      </c>
    </row>
    <row r="60" customFormat="false" ht="15" hidden="false" customHeight="true" outlineLevel="0" collapsed="false">
      <c r="A60" s="5" t="s">
        <v>284</v>
      </c>
      <c r="B60" s="5" t="s">
        <v>98</v>
      </c>
      <c r="C60" s="22" t="s">
        <v>99</v>
      </c>
      <c r="D60" s="5" t="s">
        <v>23</v>
      </c>
      <c r="E60" s="22" t="s">
        <v>285</v>
      </c>
    </row>
    <row r="61" customFormat="false" ht="27.75" hidden="false" customHeight="true" outlineLevel="0" collapsed="false">
      <c r="A61" s="5" t="s">
        <v>286</v>
      </c>
      <c r="B61" s="5" t="s">
        <v>103</v>
      </c>
      <c r="C61" s="22" t="s">
        <v>104</v>
      </c>
      <c r="D61" s="5" t="s">
        <v>23</v>
      </c>
      <c r="E61" s="22" t="s">
        <v>287</v>
      </c>
    </row>
    <row r="62" customFormat="false" ht="27.75" hidden="false" customHeight="true" outlineLevel="0" collapsed="false">
      <c r="A62" s="5" t="s">
        <v>288</v>
      </c>
      <c r="B62" s="5" t="s">
        <v>103</v>
      </c>
      <c r="C62" s="22" t="s">
        <v>104</v>
      </c>
      <c r="D62" s="5" t="s">
        <v>25</v>
      </c>
      <c r="E62" s="22" t="s">
        <v>289</v>
      </c>
    </row>
    <row r="63" customFormat="false" ht="27.75" hidden="false" customHeight="true" outlineLevel="0" collapsed="false">
      <c r="A63" s="5" t="s">
        <v>290</v>
      </c>
      <c r="B63" s="5" t="s">
        <v>103</v>
      </c>
      <c r="C63" s="22" t="s">
        <v>104</v>
      </c>
      <c r="D63" s="5" t="s">
        <v>25</v>
      </c>
      <c r="E63" s="22" t="s">
        <v>291</v>
      </c>
    </row>
    <row r="64" customFormat="false" ht="27.75" hidden="false" customHeight="true" outlineLevel="0" collapsed="false">
      <c r="A64" s="5" t="s">
        <v>292</v>
      </c>
      <c r="B64" s="5" t="s">
        <v>103</v>
      </c>
      <c r="C64" s="22" t="s">
        <v>104</v>
      </c>
      <c r="D64" s="5" t="s">
        <v>23</v>
      </c>
      <c r="E64" s="22" t="s">
        <v>293</v>
      </c>
    </row>
    <row r="65" customFormat="false" ht="15" hidden="false" customHeight="true" outlineLevel="0" collapsed="false">
      <c r="A65" s="5" t="s">
        <v>294</v>
      </c>
      <c r="B65" s="5" t="s">
        <v>108</v>
      </c>
      <c r="C65" s="22" t="s">
        <v>109</v>
      </c>
      <c r="D65" s="5" t="s">
        <v>23</v>
      </c>
      <c r="E65" s="22" t="s">
        <v>295</v>
      </c>
    </row>
    <row r="66" customFormat="false" ht="15" hidden="false" customHeight="true" outlineLevel="0" collapsed="false">
      <c r="A66" s="5" t="s">
        <v>296</v>
      </c>
      <c r="B66" s="5" t="s">
        <v>108</v>
      </c>
      <c r="C66" s="22" t="s">
        <v>109</v>
      </c>
      <c r="D66" s="5" t="s">
        <v>25</v>
      </c>
      <c r="E66" s="22" t="s">
        <v>297</v>
      </c>
    </row>
    <row r="67" customFormat="false" ht="15" hidden="false" customHeight="true" outlineLevel="0" collapsed="false">
      <c r="A67" s="5" t="s">
        <v>298</v>
      </c>
      <c r="B67" s="5" t="s">
        <v>108</v>
      </c>
      <c r="C67" s="22" t="s">
        <v>109</v>
      </c>
      <c r="D67" s="5" t="s">
        <v>25</v>
      </c>
      <c r="E67" s="22" t="s">
        <v>299</v>
      </c>
    </row>
    <row r="68" customFormat="false" ht="15" hidden="false" customHeight="true" outlineLevel="0" collapsed="false">
      <c r="A68" s="5" t="s">
        <v>300</v>
      </c>
      <c r="B68" s="5" t="s">
        <v>108</v>
      </c>
      <c r="C68" s="22" t="s">
        <v>109</v>
      </c>
      <c r="D68" s="5" t="s">
        <v>23</v>
      </c>
      <c r="E68" s="22" t="s">
        <v>301</v>
      </c>
    </row>
    <row r="69" customFormat="false" ht="15" hidden="false" customHeight="true" outlineLevel="0" collapsed="false">
      <c r="A69" s="5" t="s">
        <v>302</v>
      </c>
      <c r="B69" s="5" t="s">
        <v>113</v>
      </c>
      <c r="C69" s="22" t="s">
        <v>114</v>
      </c>
      <c r="D69" s="5" t="s">
        <v>23</v>
      </c>
      <c r="E69" s="22" t="s">
        <v>303</v>
      </c>
    </row>
    <row r="70" customFormat="false" ht="15" hidden="false" customHeight="true" outlineLevel="0" collapsed="false">
      <c r="A70" s="5" t="s">
        <v>304</v>
      </c>
      <c r="B70" s="5" t="s">
        <v>113</v>
      </c>
      <c r="C70" s="22" t="s">
        <v>114</v>
      </c>
      <c r="D70" s="5" t="s">
        <v>25</v>
      </c>
      <c r="E70" s="22" t="s">
        <v>305</v>
      </c>
    </row>
    <row r="71" customFormat="false" ht="15" hidden="false" customHeight="true" outlineLevel="0" collapsed="false">
      <c r="A71" s="5" t="s">
        <v>306</v>
      </c>
      <c r="B71" s="5" t="s">
        <v>113</v>
      </c>
      <c r="C71" s="22" t="s">
        <v>114</v>
      </c>
      <c r="D71" s="5" t="s">
        <v>25</v>
      </c>
      <c r="E71" s="22" t="s">
        <v>307</v>
      </c>
    </row>
    <row r="72" customFormat="false" ht="15" hidden="false" customHeight="true" outlineLevel="0" collapsed="false">
      <c r="A72" s="5" t="s">
        <v>308</v>
      </c>
      <c r="B72" s="5" t="s">
        <v>113</v>
      </c>
      <c r="C72" s="22" t="s">
        <v>114</v>
      </c>
      <c r="D72" s="5" t="s">
        <v>23</v>
      </c>
      <c r="E72" s="22" t="s">
        <v>309</v>
      </c>
    </row>
    <row r="73" customFormat="false" ht="15" hidden="false" customHeight="true" outlineLevel="0" collapsed="false">
      <c r="A73" s="5" t="s">
        <v>310</v>
      </c>
      <c r="B73" s="5" t="s">
        <v>118</v>
      </c>
      <c r="C73" s="22" t="s">
        <v>119</v>
      </c>
      <c r="D73" s="5" t="s">
        <v>23</v>
      </c>
      <c r="E73" s="22" t="s">
        <v>311</v>
      </c>
    </row>
    <row r="74" customFormat="false" ht="15" hidden="false" customHeight="true" outlineLevel="0" collapsed="false">
      <c r="A74" s="5" t="s">
        <v>312</v>
      </c>
      <c r="B74" s="5" t="s">
        <v>118</v>
      </c>
      <c r="C74" s="22" t="s">
        <v>119</v>
      </c>
      <c r="D74" s="5" t="s">
        <v>25</v>
      </c>
      <c r="E74" s="22" t="s">
        <v>263</v>
      </c>
    </row>
    <row r="75" customFormat="false" ht="15" hidden="false" customHeight="true" outlineLevel="0" collapsed="false">
      <c r="A75" s="5" t="s">
        <v>313</v>
      </c>
      <c r="B75" s="5" t="s">
        <v>118</v>
      </c>
      <c r="C75" s="22" t="s">
        <v>119</v>
      </c>
      <c r="D75" s="5" t="s">
        <v>25</v>
      </c>
      <c r="E75" s="22" t="s">
        <v>314</v>
      </c>
    </row>
    <row r="76" customFormat="false" ht="15" hidden="false" customHeight="true" outlineLevel="0" collapsed="false">
      <c r="A76" s="5" t="s">
        <v>315</v>
      </c>
      <c r="B76" s="5" t="s">
        <v>118</v>
      </c>
      <c r="C76" s="22" t="s">
        <v>119</v>
      </c>
      <c r="D76" s="5" t="s">
        <v>23</v>
      </c>
      <c r="E76" s="22" t="s">
        <v>316</v>
      </c>
    </row>
    <row r="77" customFormat="false" ht="15" hidden="false" customHeight="true" outlineLevel="0" collapsed="false">
      <c r="A77" s="5" t="s">
        <v>317</v>
      </c>
      <c r="B77" s="5" t="s">
        <v>123</v>
      </c>
      <c r="C77" s="22" t="s">
        <v>124</v>
      </c>
      <c r="D77" s="5" t="s">
        <v>23</v>
      </c>
      <c r="E77" s="22" t="s">
        <v>318</v>
      </c>
    </row>
    <row r="78" customFormat="false" ht="15" hidden="false" customHeight="true" outlineLevel="0" collapsed="false">
      <c r="A78" s="5" t="s">
        <v>319</v>
      </c>
      <c r="B78" s="5" t="s">
        <v>123</v>
      </c>
      <c r="C78" s="22" t="s">
        <v>124</v>
      </c>
      <c r="D78" s="5" t="s">
        <v>25</v>
      </c>
      <c r="E78" s="22" t="s">
        <v>320</v>
      </c>
    </row>
    <row r="79" customFormat="false" ht="15" hidden="false" customHeight="true" outlineLevel="0" collapsed="false">
      <c r="A79" s="5" t="s">
        <v>321</v>
      </c>
      <c r="B79" s="5" t="s">
        <v>123</v>
      </c>
      <c r="C79" s="22" t="s">
        <v>124</v>
      </c>
      <c r="D79" s="5" t="s">
        <v>25</v>
      </c>
      <c r="E79" s="22" t="s">
        <v>322</v>
      </c>
    </row>
    <row r="80" customFormat="false" ht="15" hidden="false" customHeight="true" outlineLevel="0" collapsed="false">
      <c r="A80" s="5" t="s">
        <v>323</v>
      </c>
      <c r="B80" s="5" t="s">
        <v>123</v>
      </c>
      <c r="C80" s="22" t="s">
        <v>124</v>
      </c>
      <c r="D80" s="5" t="s">
        <v>23</v>
      </c>
      <c r="E80" s="22" t="s">
        <v>324</v>
      </c>
    </row>
    <row r="81" customFormat="false" ht="15" hidden="false" customHeight="true" outlineLevel="0" collapsed="false">
      <c r="A81" s="5" t="s">
        <v>325</v>
      </c>
      <c r="B81" s="5" t="s">
        <v>128</v>
      </c>
      <c r="C81" s="22" t="s">
        <v>129</v>
      </c>
      <c r="D81" s="5" t="s">
        <v>23</v>
      </c>
      <c r="E81" s="22" t="s">
        <v>326</v>
      </c>
    </row>
    <row r="82" customFormat="false" ht="15" hidden="false" customHeight="true" outlineLevel="0" collapsed="false">
      <c r="A82" s="5" t="s">
        <v>327</v>
      </c>
      <c r="B82" s="5" t="s">
        <v>128</v>
      </c>
      <c r="C82" s="22" t="s">
        <v>129</v>
      </c>
      <c r="D82" s="5" t="s">
        <v>23</v>
      </c>
      <c r="E82" s="22" t="s">
        <v>328</v>
      </c>
    </row>
    <row r="83" customFormat="false" ht="15" hidden="false" customHeight="true" outlineLevel="0" collapsed="false">
      <c r="A83" s="5" t="s">
        <v>329</v>
      </c>
      <c r="B83" s="5" t="s">
        <v>128</v>
      </c>
      <c r="C83" s="22" t="s">
        <v>129</v>
      </c>
      <c r="D83" s="5" t="s">
        <v>25</v>
      </c>
      <c r="E83" s="22" t="s">
        <v>330</v>
      </c>
    </row>
    <row r="84" customFormat="false" ht="15" hidden="false" customHeight="true" outlineLevel="0" collapsed="false">
      <c r="A84" s="5" t="s">
        <v>331</v>
      </c>
      <c r="B84" s="5" t="s">
        <v>128</v>
      </c>
      <c r="C84" s="22" t="s">
        <v>129</v>
      </c>
      <c r="D84" s="5" t="s">
        <v>23</v>
      </c>
      <c r="E84" s="22" t="s">
        <v>332</v>
      </c>
    </row>
    <row r="85" customFormat="false" ht="15" hidden="false" customHeight="true" outlineLevel="0" collapsed="false">
      <c r="A85" s="5" t="s">
        <v>333</v>
      </c>
      <c r="B85" s="5" t="s">
        <v>133</v>
      </c>
      <c r="C85" s="22" t="s">
        <v>134</v>
      </c>
      <c r="D85" s="5" t="s">
        <v>23</v>
      </c>
      <c r="E85" s="22" t="s">
        <v>334</v>
      </c>
    </row>
    <row r="86" customFormat="false" ht="15" hidden="false" customHeight="true" outlineLevel="0" collapsed="false">
      <c r="A86" s="5" t="s">
        <v>335</v>
      </c>
      <c r="B86" s="5" t="s">
        <v>133</v>
      </c>
      <c r="C86" s="22" t="s">
        <v>134</v>
      </c>
      <c r="D86" s="5" t="s">
        <v>25</v>
      </c>
      <c r="E86" s="22" t="s">
        <v>336</v>
      </c>
    </row>
    <row r="87" customFormat="false" ht="15" hidden="false" customHeight="true" outlineLevel="0" collapsed="false">
      <c r="A87" s="5" t="s">
        <v>337</v>
      </c>
      <c r="B87" s="5" t="s">
        <v>133</v>
      </c>
      <c r="C87" s="22" t="s">
        <v>134</v>
      </c>
      <c r="D87" s="5" t="s">
        <v>25</v>
      </c>
      <c r="E87" s="22" t="s">
        <v>338</v>
      </c>
    </row>
    <row r="88" customFormat="false" ht="15" hidden="false" customHeight="true" outlineLevel="0" collapsed="false">
      <c r="A88" s="5" t="s">
        <v>339</v>
      </c>
      <c r="B88" s="5" t="s">
        <v>133</v>
      </c>
      <c r="C88" s="22" t="s">
        <v>134</v>
      </c>
      <c r="D88" s="5" t="s">
        <v>23</v>
      </c>
      <c r="E88" s="22" t="s">
        <v>340</v>
      </c>
    </row>
    <row r="89" customFormat="false" ht="15" hidden="false" customHeight="true" outlineLevel="0" collapsed="false">
      <c r="A89" s="5" t="s">
        <v>341</v>
      </c>
      <c r="B89" s="5" t="s">
        <v>138</v>
      </c>
      <c r="C89" s="22" t="s">
        <v>139</v>
      </c>
      <c r="D89" s="5" t="s">
        <v>23</v>
      </c>
      <c r="E89" s="22" t="s">
        <v>342</v>
      </c>
    </row>
    <row r="90" customFormat="false" ht="15" hidden="false" customHeight="true" outlineLevel="0" collapsed="false">
      <c r="A90" s="5" t="s">
        <v>343</v>
      </c>
      <c r="B90" s="5" t="s">
        <v>138</v>
      </c>
      <c r="C90" s="22" t="s">
        <v>139</v>
      </c>
      <c r="D90" s="5" t="s">
        <v>23</v>
      </c>
      <c r="E90" s="22" t="s">
        <v>344</v>
      </c>
    </row>
    <row r="91" customFormat="false" ht="15" hidden="false" customHeight="true" outlineLevel="0" collapsed="false">
      <c r="A91" s="5" t="s">
        <v>345</v>
      </c>
      <c r="B91" s="5" t="s">
        <v>138</v>
      </c>
      <c r="C91" s="22" t="s">
        <v>139</v>
      </c>
      <c r="D91" s="5" t="s">
        <v>25</v>
      </c>
      <c r="E91" s="22" t="s">
        <v>346</v>
      </c>
    </row>
    <row r="92" customFormat="false" ht="15" hidden="false" customHeight="true" outlineLevel="0" collapsed="false">
      <c r="A92" s="5" t="s">
        <v>347</v>
      </c>
      <c r="B92" s="5" t="s">
        <v>138</v>
      </c>
      <c r="C92" s="22" t="s">
        <v>139</v>
      </c>
      <c r="D92" s="5" t="s">
        <v>23</v>
      </c>
      <c r="E92" s="22" t="s">
        <v>348</v>
      </c>
    </row>
    <row r="93" customFormat="false" ht="27.75" hidden="false" customHeight="true" outlineLevel="0" collapsed="false">
      <c r="A93" s="5" t="s">
        <v>349</v>
      </c>
      <c r="B93" s="5" t="s">
        <v>143</v>
      </c>
      <c r="C93" s="22" t="s">
        <v>144</v>
      </c>
      <c r="D93" s="5" t="s">
        <v>23</v>
      </c>
      <c r="E93" s="22" t="s">
        <v>350</v>
      </c>
    </row>
    <row r="94" customFormat="false" ht="15" hidden="false" customHeight="true" outlineLevel="0" collapsed="false">
      <c r="A94" s="5" t="s">
        <v>351</v>
      </c>
      <c r="B94" s="5" t="s">
        <v>143</v>
      </c>
      <c r="C94" s="22" t="s">
        <v>144</v>
      </c>
      <c r="D94" s="5" t="s">
        <v>23</v>
      </c>
      <c r="E94" s="22" t="s">
        <v>352</v>
      </c>
    </row>
    <row r="95" customFormat="false" ht="15" hidden="false" customHeight="true" outlineLevel="0" collapsed="false">
      <c r="A95" s="5" t="s">
        <v>353</v>
      </c>
      <c r="B95" s="5" t="s">
        <v>143</v>
      </c>
      <c r="C95" s="22" t="s">
        <v>144</v>
      </c>
      <c r="D95" s="5" t="s">
        <v>23</v>
      </c>
      <c r="E95" s="22" t="s">
        <v>354</v>
      </c>
    </row>
    <row r="96" customFormat="false" ht="15" hidden="false" customHeight="true" outlineLevel="0" collapsed="false">
      <c r="A96" s="5" t="s">
        <v>355</v>
      </c>
      <c r="B96" s="5" t="s">
        <v>143</v>
      </c>
      <c r="C96" s="22" t="s">
        <v>144</v>
      </c>
      <c r="D96" s="5" t="s">
        <v>25</v>
      </c>
      <c r="E96" s="22" t="s">
        <v>356</v>
      </c>
    </row>
    <row r="97" customFormat="false" ht="15" hidden="false" customHeight="true" outlineLevel="0" collapsed="false">
      <c r="A97" s="5" t="s">
        <v>357</v>
      </c>
      <c r="B97" s="5" t="s">
        <v>143</v>
      </c>
      <c r="C97" s="22" t="s">
        <v>144</v>
      </c>
      <c r="D97" s="5" t="s">
        <v>25</v>
      </c>
      <c r="E97" s="22" t="s">
        <v>358</v>
      </c>
    </row>
    <row r="98" customFormat="false" ht="15" hidden="false" customHeight="true" outlineLevel="0" collapsed="false">
      <c r="A98" s="5" t="s">
        <v>359</v>
      </c>
      <c r="B98" s="5" t="s">
        <v>143</v>
      </c>
      <c r="C98" s="22" t="s">
        <v>144</v>
      </c>
      <c r="D98" s="5" t="s">
        <v>23</v>
      </c>
      <c r="E98" s="22" t="s">
        <v>360</v>
      </c>
    </row>
    <row r="99" customFormat="false" ht="15" hidden="false" customHeight="true" outlineLevel="0" collapsed="false">
      <c r="A99" s="5" t="s">
        <v>361</v>
      </c>
      <c r="B99" s="5" t="s">
        <v>148</v>
      </c>
      <c r="C99" s="22" t="s">
        <v>149</v>
      </c>
      <c r="D99" s="5" t="s">
        <v>23</v>
      </c>
      <c r="E99" s="22" t="s">
        <v>362</v>
      </c>
    </row>
    <row r="100" customFormat="false" ht="15" hidden="false" customHeight="true" outlineLevel="0" collapsed="false">
      <c r="A100" s="5" t="s">
        <v>363</v>
      </c>
      <c r="B100" s="5" t="s">
        <v>148</v>
      </c>
      <c r="C100" s="22" t="s">
        <v>149</v>
      </c>
      <c r="D100" s="5" t="s">
        <v>23</v>
      </c>
      <c r="E100" s="22" t="s">
        <v>364</v>
      </c>
    </row>
    <row r="101" customFormat="false" ht="15" hidden="false" customHeight="true" outlineLevel="0" collapsed="false">
      <c r="A101" s="5" t="s">
        <v>365</v>
      </c>
      <c r="B101" s="5" t="s">
        <v>148</v>
      </c>
      <c r="C101" s="22" t="s">
        <v>149</v>
      </c>
      <c r="D101" s="5" t="s">
        <v>25</v>
      </c>
      <c r="E101" s="22" t="s">
        <v>366</v>
      </c>
    </row>
    <row r="102" customFormat="false" ht="15" hidden="false" customHeight="true" outlineLevel="0" collapsed="false">
      <c r="A102" s="5" t="s">
        <v>367</v>
      </c>
      <c r="B102" s="5" t="s">
        <v>148</v>
      </c>
      <c r="C102" s="22" t="s">
        <v>149</v>
      </c>
      <c r="D102" s="5" t="s">
        <v>25</v>
      </c>
      <c r="E102" s="22" t="s">
        <v>368</v>
      </c>
    </row>
    <row r="103" customFormat="false" ht="15" hidden="false" customHeight="true" outlineLevel="0" collapsed="false">
      <c r="A103" s="5" t="s">
        <v>369</v>
      </c>
      <c r="B103" s="5" t="s">
        <v>148</v>
      </c>
      <c r="C103" s="22" t="s">
        <v>149</v>
      </c>
      <c r="D103" s="5" t="s">
        <v>23</v>
      </c>
      <c r="E103" s="22" t="s">
        <v>360</v>
      </c>
    </row>
    <row r="104" customFormat="false" ht="15" hidden="false" customHeight="true" outlineLevel="0" collapsed="false">
      <c r="A104" s="5" t="s">
        <v>370</v>
      </c>
      <c r="B104" s="5" t="s">
        <v>153</v>
      </c>
      <c r="C104" s="22" t="s">
        <v>154</v>
      </c>
      <c r="D104" s="5" t="s">
        <v>23</v>
      </c>
      <c r="E104" s="22" t="s">
        <v>371</v>
      </c>
    </row>
    <row r="105" customFormat="false" ht="15" hidden="false" customHeight="true" outlineLevel="0" collapsed="false">
      <c r="A105" s="5" t="s">
        <v>372</v>
      </c>
      <c r="B105" s="5" t="s">
        <v>153</v>
      </c>
      <c r="C105" s="22" t="s">
        <v>154</v>
      </c>
      <c r="D105" s="5" t="s">
        <v>25</v>
      </c>
      <c r="E105" s="22" t="s">
        <v>373</v>
      </c>
    </row>
    <row r="106" customFormat="false" ht="15" hidden="false" customHeight="true" outlineLevel="0" collapsed="false">
      <c r="A106" s="5" t="s">
        <v>374</v>
      </c>
      <c r="B106" s="5" t="s">
        <v>153</v>
      </c>
      <c r="C106" s="22" t="s">
        <v>154</v>
      </c>
      <c r="D106" s="5" t="s">
        <v>25</v>
      </c>
      <c r="E106" s="22" t="s">
        <v>375</v>
      </c>
    </row>
    <row r="107" customFormat="false" ht="15" hidden="false" customHeight="true" outlineLevel="0" collapsed="false">
      <c r="A107" s="5" t="s">
        <v>376</v>
      </c>
      <c r="B107" s="5" t="s">
        <v>153</v>
      </c>
      <c r="C107" s="22" t="s">
        <v>154</v>
      </c>
      <c r="D107" s="5" t="s">
        <v>23</v>
      </c>
      <c r="E107" s="22" t="s">
        <v>316</v>
      </c>
    </row>
    <row r="108" customFormat="false" ht="15" hidden="false" customHeight="true" outlineLevel="0" collapsed="false">
      <c r="A108" s="5" t="s">
        <v>377</v>
      </c>
      <c r="B108" s="5" t="s">
        <v>158</v>
      </c>
      <c r="C108" s="22" t="s">
        <v>159</v>
      </c>
      <c r="D108" s="5" t="s">
        <v>23</v>
      </c>
      <c r="E108" s="22" t="s">
        <v>378</v>
      </c>
    </row>
    <row r="109" customFormat="false" ht="15" hidden="false" customHeight="true" outlineLevel="0" collapsed="false">
      <c r="A109" s="5" t="s">
        <v>379</v>
      </c>
      <c r="B109" s="5" t="s">
        <v>158</v>
      </c>
      <c r="C109" s="22" t="s">
        <v>159</v>
      </c>
      <c r="D109" s="5" t="s">
        <v>23</v>
      </c>
      <c r="E109" s="22" t="s">
        <v>380</v>
      </c>
    </row>
    <row r="110" customFormat="false" ht="15" hidden="false" customHeight="true" outlineLevel="0" collapsed="false">
      <c r="A110" s="5" t="s">
        <v>381</v>
      </c>
      <c r="B110" s="5" t="s">
        <v>158</v>
      </c>
      <c r="C110" s="22" t="s">
        <v>159</v>
      </c>
      <c r="D110" s="5" t="s">
        <v>25</v>
      </c>
      <c r="E110" s="22" t="s">
        <v>382</v>
      </c>
    </row>
    <row r="111" customFormat="false" ht="15" hidden="false" customHeight="true" outlineLevel="0" collapsed="false">
      <c r="A111" s="5" t="s">
        <v>383</v>
      </c>
      <c r="B111" s="5" t="s">
        <v>158</v>
      </c>
      <c r="C111" s="22" t="s">
        <v>159</v>
      </c>
      <c r="D111" s="5" t="s">
        <v>25</v>
      </c>
      <c r="E111" s="22" t="s">
        <v>384</v>
      </c>
    </row>
    <row r="112" customFormat="false" ht="15" hidden="false" customHeight="true" outlineLevel="0" collapsed="false">
      <c r="A112" s="5" t="s">
        <v>385</v>
      </c>
      <c r="B112" s="5" t="s">
        <v>158</v>
      </c>
      <c r="C112" s="22" t="s">
        <v>159</v>
      </c>
      <c r="D112" s="5" t="s">
        <v>23</v>
      </c>
      <c r="E112" s="22" t="s">
        <v>386</v>
      </c>
    </row>
  </sheetData>
  <autoFilter ref="A1:E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10"/>
    <col collapsed="false" customWidth="true" hidden="false" outlineLevel="0" max="4" min="4" style="0" width="28"/>
    <col collapsed="false" customWidth="true" hidden="false" outlineLevel="0" max="5" min="5" style="0" width="22"/>
    <col collapsed="false" customWidth="true" hidden="false" outlineLevel="0" max="6" min="6" style="0" width="12"/>
    <col collapsed="false" customWidth="true" hidden="false" outlineLevel="0" max="7" min="7" style="0" width="22"/>
    <col collapsed="false" customWidth="true" hidden="false" outlineLevel="0" max="8" min="8" style="0" width="26"/>
    <col collapsed="false" customWidth="true" hidden="false" outlineLevel="0" max="9" min="9" style="0" width="45"/>
  </cols>
  <sheetData>
    <row r="1" customFormat="false" ht="23.85" hidden="false" customHeight="false" outlineLevel="0" collapsed="false">
      <c r="A1" s="20" t="s">
        <v>387</v>
      </c>
      <c r="B1" s="20" t="s">
        <v>388</v>
      </c>
      <c r="C1" s="20" t="s">
        <v>389</v>
      </c>
      <c r="D1" s="20" t="s">
        <v>390</v>
      </c>
      <c r="E1" s="20" t="s">
        <v>391</v>
      </c>
      <c r="F1" s="20" t="s">
        <v>392</v>
      </c>
      <c r="G1" s="20" t="s">
        <v>393</v>
      </c>
      <c r="H1" s="20" t="s">
        <v>394</v>
      </c>
      <c r="I1" s="20" t="s">
        <v>395</v>
      </c>
    </row>
    <row r="2" customFormat="false" ht="16.5" hidden="false" customHeight="true" outlineLevel="0" collapsed="false">
      <c r="A2" s="26" t="s">
        <v>396</v>
      </c>
      <c r="B2" s="22" t="s">
        <v>397</v>
      </c>
      <c r="C2" s="22" t="s">
        <v>398</v>
      </c>
      <c r="D2" s="22" t="s">
        <v>399</v>
      </c>
      <c r="E2" s="22"/>
      <c r="F2" s="22" t="s">
        <v>33</v>
      </c>
      <c r="G2" s="22"/>
      <c r="H2" s="22"/>
      <c r="I2" s="22"/>
    </row>
    <row r="3" customFormat="false" ht="16.5" hidden="false" customHeight="true" outlineLevel="0" collapsed="false">
      <c r="A3" s="26" t="s">
        <v>400</v>
      </c>
      <c r="B3" s="22" t="s">
        <v>401</v>
      </c>
      <c r="C3" s="22" t="s">
        <v>398</v>
      </c>
      <c r="D3" s="22" t="s">
        <v>399</v>
      </c>
      <c r="E3" s="22"/>
      <c r="F3" s="22" t="s">
        <v>33</v>
      </c>
      <c r="G3" s="22"/>
      <c r="H3" s="22"/>
      <c r="I3" s="22"/>
    </row>
    <row r="4" customFormat="false" ht="43.5" hidden="false" customHeight="true" outlineLevel="0" collapsed="false">
      <c r="A4" s="26" t="s">
        <v>402</v>
      </c>
      <c r="B4" s="22" t="s">
        <v>403</v>
      </c>
      <c r="C4" s="22" t="s">
        <v>398</v>
      </c>
      <c r="D4" s="22" t="s">
        <v>404</v>
      </c>
      <c r="E4" s="22"/>
      <c r="F4" s="22" t="s">
        <v>33</v>
      </c>
      <c r="G4" s="22" t="s">
        <v>103</v>
      </c>
      <c r="H4" s="22" t="s">
        <v>405</v>
      </c>
      <c r="I4" s="22" t="s">
        <v>406</v>
      </c>
    </row>
    <row r="5" customFormat="false" ht="30" hidden="false" customHeight="true" outlineLevel="0" collapsed="false">
      <c r="A5" s="26" t="s">
        <v>407</v>
      </c>
      <c r="B5" s="22" t="s">
        <v>408</v>
      </c>
      <c r="C5" s="22" t="s">
        <v>398</v>
      </c>
      <c r="D5" s="22" t="s">
        <v>399</v>
      </c>
      <c r="E5" s="22"/>
      <c r="F5" s="22" t="s">
        <v>33</v>
      </c>
      <c r="G5" s="22" t="s">
        <v>103</v>
      </c>
      <c r="H5" s="22"/>
      <c r="I5" s="22" t="s">
        <v>409</v>
      </c>
    </row>
    <row r="6" customFormat="false" ht="30" hidden="false" customHeight="true" outlineLevel="0" collapsed="false">
      <c r="A6" s="26" t="s">
        <v>410</v>
      </c>
      <c r="B6" s="22" t="s">
        <v>411</v>
      </c>
      <c r="C6" s="22" t="s">
        <v>412</v>
      </c>
      <c r="D6" s="22" t="s">
        <v>413</v>
      </c>
      <c r="E6" s="22" t="s">
        <v>414</v>
      </c>
      <c r="F6" s="22" t="s">
        <v>38</v>
      </c>
      <c r="G6" s="22" t="s">
        <v>415</v>
      </c>
      <c r="H6" s="22"/>
      <c r="I6" s="22" t="s">
        <v>416</v>
      </c>
    </row>
    <row r="7" customFormat="false" ht="16.5" hidden="false" customHeight="true" outlineLevel="0" collapsed="false">
      <c r="A7" s="26" t="s">
        <v>417</v>
      </c>
      <c r="B7" s="22" t="s">
        <v>418</v>
      </c>
      <c r="C7" s="22" t="s">
        <v>398</v>
      </c>
      <c r="D7" s="22" t="s">
        <v>399</v>
      </c>
      <c r="E7" s="22"/>
      <c r="F7" s="22" t="s">
        <v>38</v>
      </c>
      <c r="G7" s="22"/>
      <c r="H7" s="22"/>
      <c r="I7" s="22"/>
    </row>
    <row r="8" customFormat="false" ht="16.5" hidden="false" customHeight="true" outlineLevel="0" collapsed="false">
      <c r="A8" s="26" t="s">
        <v>419</v>
      </c>
      <c r="B8" s="22" t="s">
        <v>420</v>
      </c>
      <c r="C8" s="22" t="s">
        <v>398</v>
      </c>
      <c r="D8" s="22" t="s">
        <v>399</v>
      </c>
      <c r="E8" s="22"/>
      <c r="F8" s="22" t="s">
        <v>43</v>
      </c>
      <c r="G8" s="22"/>
      <c r="H8" s="22" t="s">
        <v>421</v>
      </c>
      <c r="I8" s="22"/>
    </row>
    <row r="9" customFormat="false" ht="30" hidden="false" customHeight="true" outlineLevel="0" collapsed="false">
      <c r="A9" s="26" t="s">
        <v>422</v>
      </c>
      <c r="B9" s="22" t="s">
        <v>423</v>
      </c>
      <c r="C9" s="22" t="s">
        <v>398</v>
      </c>
      <c r="D9" s="22" t="s">
        <v>424</v>
      </c>
      <c r="E9" s="22"/>
      <c r="F9" s="22" t="s">
        <v>43</v>
      </c>
      <c r="G9" s="22" t="s">
        <v>73</v>
      </c>
      <c r="H9" s="22"/>
      <c r="I9" s="22" t="s">
        <v>425</v>
      </c>
    </row>
    <row r="10" customFormat="false" ht="16.5" hidden="false" customHeight="true" outlineLevel="0" collapsed="false">
      <c r="A10" s="26" t="s">
        <v>426</v>
      </c>
      <c r="B10" s="22" t="s">
        <v>427</v>
      </c>
      <c r="C10" s="22" t="s">
        <v>398</v>
      </c>
      <c r="D10" s="22" t="s">
        <v>399</v>
      </c>
      <c r="E10" s="22"/>
      <c r="F10" s="22" t="s">
        <v>48</v>
      </c>
      <c r="G10" s="22"/>
      <c r="H10" s="22"/>
      <c r="I10" s="22"/>
    </row>
    <row r="11" customFormat="false" ht="16.5" hidden="false" customHeight="true" outlineLevel="0" collapsed="false">
      <c r="A11" s="26" t="s">
        <v>428</v>
      </c>
      <c r="B11" s="22" t="s">
        <v>429</v>
      </c>
      <c r="C11" s="22" t="s">
        <v>398</v>
      </c>
      <c r="D11" s="22" t="s">
        <v>399</v>
      </c>
      <c r="E11" s="22"/>
      <c r="F11" s="22" t="s">
        <v>48</v>
      </c>
      <c r="G11" s="22"/>
      <c r="H11" s="22"/>
      <c r="I11" s="22" t="s">
        <v>430</v>
      </c>
    </row>
    <row r="12" customFormat="false" ht="16.5" hidden="false" customHeight="true" outlineLevel="0" collapsed="false">
      <c r="A12" s="26" t="s">
        <v>431</v>
      </c>
      <c r="B12" s="22" t="s">
        <v>432</v>
      </c>
      <c r="C12" s="22" t="s">
        <v>398</v>
      </c>
      <c r="D12" s="22" t="s">
        <v>399</v>
      </c>
      <c r="E12" s="22"/>
      <c r="F12" s="22" t="s">
        <v>53</v>
      </c>
      <c r="G12" s="22"/>
      <c r="H12" s="22"/>
      <c r="I12" s="22"/>
    </row>
    <row r="13" customFormat="false" ht="16.5" hidden="false" customHeight="true" outlineLevel="0" collapsed="false">
      <c r="A13" s="26" t="s">
        <v>433</v>
      </c>
      <c r="B13" s="22" t="s">
        <v>434</v>
      </c>
      <c r="C13" s="22" t="s">
        <v>398</v>
      </c>
      <c r="D13" s="22" t="s">
        <v>399</v>
      </c>
      <c r="E13" s="22"/>
      <c r="F13" s="22" t="s">
        <v>53</v>
      </c>
      <c r="G13" s="22" t="s">
        <v>63</v>
      </c>
      <c r="H13" s="22"/>
      <c r="I13" s="22"/>
    </row>
    <row r="14" customFormat="false" ht="16.5" hidden="false" customHeight="true" outlineLevel="0" collapsed="false">
      <c r="A14" s="26" t="s">
        <v>435</v>
      </c>
      <c r="B14" s="22" t="s">
        <v>436</v>
      </c>
      <c r="C14" s="22" t="s">
        <v>398</v>
      </c>
      <c r="D14" s="22" t="s">
        <v>437</v>
      </c>
      <c r="E14" s="22"/>
      <c r="F14" s="22" t="s">
        <v>58</v>
      </c>
      <c r="G14" s="22" t="s">
        <v>158</v>
      </c>
      <c r="H14" s="22"/>
      <c r="I14" s="22" t="s">
        <v>438</v>
      </c>
    </row>
    <row r="15" customFormat="false" ht="16.5" hidden="false" customHeight="true" outlineLevel="0" collapsed="false">
      <c r="A15" s="26" t="s">
        <v>439</v>
      </c>
      <c r="B15" s="22" t="s">
        <v>440</v>
      </c>
      <c r="C15" s="22" t="s">
        <v>398</v>
      </c>
      <c r="D15" s="22" t="s">
        <v>437</v>
      </c>
      <c r="E15" s="22"/>
      <c r="F15" s="22" t="s">
        <v>63</v>
      </c>
      <c r="G15" s="22"/>
      <c r="H15" s="22" t="s">
        <v>441</v>
      </c>
      <c r="I15" s="22"/>
    </row>
    <row r="16" customFormat="false" ht="16.5" hidden="false" customHeight="true" outlineLevel="0" collapsed="false">
      <c r="A16" s="26" t="s">
        <v>442</v>
      </c>
      <c r="B16" s="22" t="s">
        <v>443</v>
      </c>
      <c r="C16" s="22" t="s">
        <v>398</v>
      </c>
      <c r="D16" s="22" t="s">
        <v>437</v>
      </c>
      <c r="E16" s="22"/>
      <c r="F16" s="22" t="s">
        <v>63</v>
      </c>
      <c r="G16" s="22"/>
      <c r="H16" s="22"/>
      <c r="I16" s="22" t="s">
        <v>444</v>
      </c>
    </row>
    <row r="17" customFormat="false" ht="16.5" hidden="false" customHeight="true" outlineLevel="0" collapsed="false">
      <c r="A17" s="26" t="s">
        <v>445</v>
      </c>
      <c r="B17" s="22" t="s">
        <v>446</v>
      </c>
      <c r="C17" s="22" t="s">
        <v>412</v>
      </c>
      <c r="D17" s="22" t="s">
        <v>413</v>
      </c>
      <c r="E17" s="22"/>
      <c r="F17" s="22" t="s">
        <v>63</v>
      </c>
      <c r="G17" s="22" t="s">
        <v>113</v>
      </c>
      <c r="H17" s="22"/>
      <c r="I17" s="22" t="s">
        <v>447</v>
      </c>
    </row>
    <row r="18" customFormat="false" ht="16.5" hidden="false" customHeight="true" outlineLevel="0" collapsed="false">
      <c r="A18" s="26" t="s">
        <v>448</v>
      </c>
      <c r="B18" s="22" t="s">
        <v>449</v>
      </c>
      <c r="C18" s="22" t="s">
        <v>398</v>
      </c>
      <c r="D18" s="22" t="s">
        <v>437</v>
      </c>
      <c r="E18" s="22"/>
      <c r="F18" s="22" t="s">
        <v>68</v>
      </c>
      <c r="G18" s="22"/>
      <c r="H18" s="22"/>
      <c r="I18" s="22"/>
    </row>
    <row r="19" customFormat="false" ht="30" hidden="false" customHeight="true" outlineLevel="0" collapsed="false">
      <c r="A19" s="26" t="s">
        <v>450</v>
      </c>
      <c r="B19" s="22" t="s">
        <v>451</v>
      </c>
      <c r="C19" s="22" t="s">
        <v>398</v>
      </c>
      <c r="D19" s="22" t="s">
        <v>452</v>
      </c>
      <c r="E19" s="22"/>
      <c r="F19" s="22" t="s">
        <v>68</v>
      </c>
      <c r="G19" s="22" t="s">
        <v>98</v>
      </c>
      <c r="H19" s="22"/>
      <c r="I19" s="22" t="s">
        <v>453</v>
      </c>
    </row>
    <row r="20" customFormat="false" ht="16.5" hidden="false" customHeight="true" outlineLevel="0" collapsed="false">
      <c r="A20" s="26" t="s">
        <v>454</v>
      </c>
      <c r="B20" s="22" t="s">
        <v>455</v>
      </c>
      <c r="C20" s="22" t="s">
        <v>398</v>
      </c>
      <c r="D20" s="22" t="s">
        <v>437</v>
      </c>
      <c r="E20" s="22"/>
      <c r="F20" s="22" t="s">
        <v>73</v>
      </c>
      <c r="G20" s="22" t="s">
        <v>78</v>
      </c>
      <c r="H20" s="22" t="s">
        <v>456</v>
      </c>
      <c r="I20" s="22"/>
    </row>
    <row r="21" customFormat="false" ht="16.5" hidden="false" customHeight="true" outlineLevel="0" collapsed="false">
      <c r="A21" s="26" t="s">
        <v>457</v>
      </c>
      <c r="B21" s="22" t="s">
        <v>458</v>
      </c>
      <c r="C21" s="22" t="s">
        <v>398</v>
      </c>
      <c r="D21" s="22" t="s">
        <v>437</v>
      </c>
      <c r="E21" s="22"/>
      <c r="F21" s="22" t="s">
        <v>73</v>
      </c>
      <c r="G21" s="22"/>
      <c r="H21" s="22" t="s">
        <v>459</v>
      </c>
      <c r="I21" s="22" t="s">
        <v>460</v>
      </c>
    </row>
    <row r="22" customFormat="false" ht="30" hidden="false" customHeight="true" outlineLevel="0" collapsed="false">
      <c r="A22" s="26" t="s">
        <v>461</v>
      </c>
      <c r="B22" s="22" t="s">
        <v>462</v>
      </c>
      <c r="C22" s="22" t="s">
        <v>398</v>
      </c>
      <c r="D22" s="22" t="s">
        <v>437</v>
      </c>
      <c r="E22" s="22" t="s">
        <v>463</v>
      </c>
      <c r="F22" s="22" t="s">
        <v>78</v>
      </c>
      <c r="G22" s="22" t="s">
        <v>73</v>
      </c>
      <c r="H22" s="22"/>
      <c r="I22" s="22" t="s">
        <v>464</v>
      </c>
    </row>
    <row r="23" customFormat="false" ht="16.5" hidden="false" customHeight="true" outlineLevel="0" collapsed="false">
      <c r="A23" s="26" t="s">
        <v>465</v>
      </c>
      <c r="B23" s="22" t="s">
        <v>466</v>
      </c>
      <c r="C23" s="22" t="s">
        <v>398</v>
      </c>
      <c r="D23" s="22" t="s">
        <v>437</v>
      </c>
      <c r="E23" s="22"/>
      <c r="F23" s="22" t="s">
        <v>83</v>
      </c>
      <c r="G23" s="22"/>
      <c r="H23" s="22"/>
      <c r="I23" s="22"/>
    </row>
    <row r="24" customFormat="false" ht="16.5" hidden="false" customHeight="true" outlineLevel="0" collapsed="false">
      <c r="A24" s="26" t="s">
        <v>467</v>
      </c>
      <c r="B24" s="22" t="s">
        <v>468</v>
      </c>
      <c r="C24" s="22" t="s">
        <v>398</v>
      </c>
      <c r="D24" s="22" t="s">
        <v>437</v>
      </c>
      <c r="E24" s="22"/>
      <c r="F24" s="22" t="s">
        <v>83</v>
      </c>
      <c r="G24" s="22"/>
      <c r="H24" s="22" t="s">
        <v>469</v>
      </c>
      <c r="I24" s="22"/>
    </row>
    <row r="25" customFormat="false" ht="16.5" hidden="false" customHeight="true" outlineLevel="0" collapsed="false">
      <c r="A25" s="26" t="s">
        <v>470</v>
      </c>
      <c r="B25" s="22" t="s">
        <v>471</v>
      </c>
      <c r="C25" s="22" t="s">
        <v>398</v>
      </c>
      <c r="D25" s="22" t="s">
        <v>437</v>
      </c>
      <c r="E25" s="22"/>
      <c r="F25" s="22" t="s">
        <v>88</v>
      </c>
      <c r="G25" s="22" t="s">
        <v>472</v>
      </c>
      <c r="H25" s="22"/>
      <c r="I25" s="22" t="s">
        <v>473</v>
      </c>
    </row>
    <row r="26" customFormat="false" ht="16.5" hidden="false" customHeight="true" outlineLevel="0" collapsed="false">
      <c r="A26" s="26" t="s">
        <v>474</v>
      </c>
      <c r="B26" s="22" t="s">
        <v>475</v>
      </c>
      <c r="C26" s="22" t="s">
        <v>398</v>
      </c>
      <c r="D26" s="22" t="s">
        <v>476</v>
      </c>
      <c r="E26" s="22" t="s">
        <v>477</v>
      </c>
      <c r="F26" s="22" t="s">
        <v>93</v>
      </c>
      <c r="G26" s="22" t="s">
        <v>143</v>
      </c>
      <c r="H26" s="22"/>
      <c r="I26" s="22"/>
    </row>
    <row r="27" customFormat="false" ht="16.5" hidden="false" customHeight="true" outlineLevel="0" collapsed="false">
      <c r="A27" s="26" t="s">
        <v>478</v>
      </c>
      <c r="B27" s="22" t="s">
        <v>479</v>
      </c>
      <c r="C27" s="22" t="s">
        <v>398</v>
      </c>
      <c r="D27" s="22" t="s">
        <v>476</v>
      </c>
      <c r="E27" s="22"/>
      <c r="F27" s="22" t="s">
        <v>93</v>
      </c>
      <c r="G27" s="22"/>
      <c r="H27" s="22"/>
      <c r="I27" s="22"/>
    </row>
    <row r="28" customFormat="false" ht="16.5" hidden="false" customHeight="true" outlineLevel="0" collapsed="false">
      <c r="A28" s="26" t="s">
        <v>480</v>
      </c>
      <c r="B28" s="22" t="s">
        <v>481</v>
      </c>
      <c r="C28" s="22" t="s">
        <v>398</v>
      </c>
      <c r="D28" s="22" t="s">
        <v>476</v>
      </c>
      <c r="E28" s="22"/>
      <c r="F28" s="22" t="s">
        <v>93</v>
      </c>
      <c r="G28" s="22"/>
      <c r="H28" s="22"/>
      <c r="I28" s="22" t="s">
        <v>482</v>
      </c>
    </row>
    <row r="29" customFormat="false" ht="16.5" hidden="false" customHeight="true" outlineLevel="0" collapsed="false">
      <c r="A29" s="26" t="s">
        <v>483</v>
      </c>
      <c r="B29" s="22" t="s">
        <v>484</v>
      </c>
      <c r="C29" s="22" t="s">
        <v>398</v>
      </c>
      <c r="D29" s="22" t="s">
        <v>476</v>
      </c>
      <c r="E29" s="22"/>
      <c r="F29" s="22" t="s">
        <v>98</v>
      </c>
      <c r="G29" s="22"/>
      <c r="H29" s="22" t="s">
        <v>485</v>
      </c>
      <c r="I29" s="22"/>
    </row>
    <row r="30" customFormat="false" ht="16.5" hidden="false" customHeight="true" outlineLevel="0" collapsed="false">
      <c r="A30" s="26" t="s">
        <v>486</v>
      </c>
      <c r="B30" s="22" t="s">
        <v>487</v>
      </c>
      <c r="C30" s="22" t="s">
        <v>398</v>
      </c>
      <c r="D30" s="22" t="s">
        <v>476</v>
      </c>
      <c r="E30" s="22"/>
      <c r="F30" s="22" t="s">
        <v>103</v>
      </c>
      <c r="G30" s="22" t="s">
        <v>33</v>
      </c>
      <c r="H30" s="22" t="s">
        <v>405</v>
      </c>
      <c r="I30" s="22"/>
    </row>
    <row r="31" customFormat="false" ht="16.5" hidden="false" customHeight="true" outlineLevel="0" collapsed="false">
      <c r="A31" s="26" t="s">
        <v>488</v>
      </c>
      <c r="B31" s="22" t="s">
        <v>489</v>
      </c>
      <c r="C31" s="22" t="s">
        <v>398</v>
      </c>
      <c r="D31" s="22" t="s">
        <v>476</v>
      </c>
      <c r="E31" s="22"/>
      <c r="F31" s="22" t="s">
        <v>103</v>
      </c>
      <c r="G31" s="22" t="s">
        <v>33</v>
      </c>
      <c r="H31" s="22" t="s">
        <v>490</v>
      </c>
      <c r="I31" s="22" t="s">
        <v>491</v>
      </c>
    </row>
    <row r="32" customFormat="false" ht="16.5" hidden="false" customHeight="true" outlineLevel="0" collapsed="false">
      <c r="A32" s="26" t="s">
        <v>492</v>
      </c>
      <c r="B32" s="22" t="s">
        <v>493</v>
      </c>
      <c r="C32" s="22" t="s">
        <v>398</v>
      </c>
      <c r="D32" s="22" t="s">
        <v>476</v>
      </c>
      <c r="E32" s="22"/>
      <c r="F32" s="22" t="s">
        <v>108</v>
      </c>
      <c r="G32" s="22"/>
      <c r="H32" s="22"/>
      <c r="I32" s="22"/>
    </row>
    <row r="33" customFormat="false" ht="16.5" hidden="false" customHeight="true" outlineLevel="0" collapsed="false">
      <c r="A33" s="26" t="s">
        <v>494</v>
      </c>
      <c r="B33" s="22" t="s">
        <v>495</v>
      </c>
      <c r="C33" s="22" t="s">
        <v>398</v>
      </c>
      <c r="D33" s="22" t="s">
        <v>476</v>
      </c>
      <c r="E33" s="22"/>
      <c r="F33" s="22" t="s">
        <v>113</v>
      </c>
      <c r="G33" s="22"/>
      <c r="H33" s="22"/>
      <c r="I33" s="22"/>
    </row>
    <row r="34" customFormat="false" ht="16.5" hidden="false" customHeight="true" outlineLevel="0" collapsed="false">
      <c r="A34" s="26" t="s">
        <v>496</v>
      </c>
      <c r="B34" s="22" t="s">
        <v>497</v>
      </c>
      <c r="C34" s="22" t="s">
        <v>398</v>
      </c>
      <c r="D34" s="22" t="s">
        <v>476</v>
      </c>
      <c r="E34" s="22"/>
      <c r="F34" s="22" t="s">
        <v>113</v>
      </c>
      <c r="G34" s="22"/>
      <c r="H34" s="22"/>
      <c r="I34" s="22" t="s">
        <v>498</v>
      </c>
    </row>
    <row r="35" customFormat="false" ht="30" hidden="false" customHeight="true" outlineLevel="0" collapsed="false">
      <c r="A35" s="26" t="s">
        <v>499</v>
      </c>
      <c r="B35" s="22" t="s">
        <v>500</v>
      </c>
      <c r="C35" s="22" t="s">
        <v>412</v>
      </c>
      <c r="D35" s="22" t="s">
        <v>413</v>
      </c>
      <c r="E35" s="22"/>
      <c r="F35" s="22" t="s">
        <v>113</v>
      </c>
      <c r="G35" s="22" t="s">
        <v>103</v>
      </c>
      <c r="H35" s="22"/>
      <c r="I35" s="22" t="s">
        <v>501</v>
      </c>
    </row>
    <row r="36" customFormat="false" ht="16.5" hidden="false" customHeight="true" outlineLevel="0" collapsed="false">
      <c r="A36" s="26" t="s">
        <v>502</v>
      </c>
      <c r="B36" s="22" t="s">
        <v>503</v>
      </c>
      <c r="C36" s="22" t="s">
        <v>398</v>
      </c>
      <c r="D36" s="22" t="s">
        <v>476</v>
      </c>
      <c r="E36" s="22"/>
      <c r="F36" s="22" t="s">
        <v>118</v>
      </c>
      <c r="G36" s="22" t="s">
        <v>504</v>
      </c>
      <c r="H36" s="22"/>
      <c r="I36" s="22"/>
    </row>
    <row r="37" customFormat="false" ht="16.5" hidden="false" customHeight="true" outlineLevel="0" collapsed="false">
      <c r="A37" s="26" t="s">
        <v>505</v>
      </c>
      <c r="B37" s="22" t="s">
        <v>124</v>
      </c>
      <c r="C37" s="22" t="s">
        <v>398</v>
      </c>
      <c r="D37" s="22" t="s">
        <v>506</v>
      </c>
      <c r="E37" s="22"/>
      <c r="F37" s="22" t="s">
        <v>123</v>
      </c>
      <c r="G37" s="22"/>
      <c r="H37" s="22"/>
      <c r="I37" s="22"/>
    </row>
    <row r="38" customFormat="false" ht="16.5" hidden="false" customHeight="true" outlineLevel="0" collapsed="false">
      <c r="A38" s="26" t="s">
        <v>507</v>
      </c>
      <c r="B38" s="22" t="s">
        <v>129</v>
      </c>
      <c r="C38" s="22" t="s">
        <v>398</v>
      </c>
      <c r="D38" s="22" t="s">
        <v>506</v>
      </c>
      <c r="E38" s="22"/>
      <c r="F38" s="22" t="s">
        <v>128</v>
      </c>
      <c r="G38" s="22" t="s">
        <v>138</v>
      </c>
      <c r="H38" s="22"/>
      <c r="I38" s="22"/>
    </row>
    <row r="39" customFormat="false" ht="30" hidden="false" customHeight="true" outlineLevel="0" collapsed="false">
      <c r="A39" s="26" t="s">
        <v>508</v>
      </c>
      <c r="B39" s="22" t="s">
        <v>509</v>
      </c>
      <c r="C39" s="22" t="s">
        <v>412</v>
      </c>
      <c r="D39" s="22" t="s">
        <v>510</v>
      </c>
      <c r="E39" s="22"/>
      <c r="F39" s="22" t="s">
        <v>133</v>
      </c>
      <c r="G39" s="22" t="s">
        <v>511</v>
      </c>
      <c r="H39" s="22"/>
      <c r="I39" s="22" t="s">
        <v>512</v>
      </c>
    </row>
    <row r="40" customFormat="false" ht="16.5" hidden="false" customHeight="true" outlineLevel="0" collapsed="false">
      <c r="A40" s="26" t="s">
        <v>513</v>
      </c>
      <c r="B40" s="22" t="s">
        <v>514</v>
      </c>
      <c r="C40" s="22" t="s">
        <v>398</v>
      </c>
      <c r="D40" s="22" t="s">
        <v>506</v>
      </c>
      <c r="E40" s="22"/>
      <c r="F40" s="22" t="s">
        <v>133</v>
      </c>
      <c r="G40" s="22"/>
      <c r="H40" s="22"/>
      <c r="I40" s="22"/>
    </row>
    <row r="41" customFormat="false" ht="16.5" hidden="false" customHeight="true" outlineLevel="0" collapsed="false">
      <c r="A41" s="26" t="s">
        <v>515</v>
      </c>
      <c r="B41" s="22" t="s">
        <v>516</v>
      </c>
      <c r="C41" s="22" t="s">
        <v>398</v>
      </c>
      <c r="D41" s="22" t="s">
        <v>517</v>
      </c>
      <c r="E41" s="22" t="s">
        <v>518</v>
      </c>
      <c r="F41" s="22" t="s">
        <v>138</v>
      </c>
      <c r="G41" s="22" t="s">
        <v>128</v>
      </c>
      <c r="H41" s="22"/>
      <c r="I41" s="22"/>
    </row>
    <row r="42" customFormat="false" ht="16.5" hidden="false" customHeight="true" outlineLevel="0" collapsed="false">
      <c r="A42" s="26" t="s">
        <v>519</v>
      </c>
      <c r="B42" s="22" t="s">
        <v>520</v>
      </c>
      <c r="C42" s="22" t="s">
        <v>412</v>
      </c>
      <c r="D42" s="22" t="s">
        <v>412</v>
      </c>
      <c r="E42" s="22" t="s">
        <v>521</v>
      </c>
      <c r="F42" s="22" t="s">
        <v>143</v>
      </c>
      <c r="G42" s="22" t="s">
        <v>93</v>
      </c>
      <c r="H42" s="22"/>
      <c r="I42" s="22"/>
    </row>
    <row r="43" customFormat="false" ht="16.5" hidden="false" customHeight="true" outlineLevel="0" collapsed="false">
      <c r="A43" s="26" t="s">
        <v>522</v>
      </c>
      <c r="B43" s="22" t="s">
        <v>523</v>
      </c>
      <c r="C43" s="22" t="s">
        <v>412</v>
      </c>
      <c r="D43" s="22" t="s">
        <v>412</v>
      </c>
      <c r="E43" s="22"/>
      <c r="F43" s="22" t="s">
        <v>143</v>
      </c>
      <c r="G43" s="22" t="s">
        <v>148</v>
      </c>
      <c r="H43" s="22"/>
      <c r="I43" s="22" t="s">
        <v>524</v>
      </c>
    </row>
    <row r="44" customFormat="false" ht="16.5" hidden="false" customHeight="true" outlineLevel="0" collapsed="false">
      <c r="A44" s="26" t="s">
        <v>525</v>
      </c>
      <c r="B44" s="22" t="s">
        <v>526</v>
      </c>
      <c r="C44" s="22" t="s">
        <v>412</v>
      </c>
      <c r="D44" s="22" t="s">
        <v>412</v>
      </c>
      <c r="E44" s="22" t="s">
        <v>463</v>
      </c>
      <c r="F44" s="22" t="s">
        <v>148</v>
      </c>
      <c r="G44" s="22" t="s">
        <v>78</v>
      </c>
      <c r="H44" s="22"/>
      <c r="I44" s="22" t="s">
        <v>527</v>
      </c>
    </row>
    <row r="45" customFormat="false" ht="16.5" hidden="false" customHeight="true" outlineLevel="0" collapsed="false">
      <c r="A45" s="26" t="s">
        <v>528</v>
      </c>
      <c r="B45" s="22" t="s">
        <v>529</v>
      </c>
      <c r="C45" s="22" t="s">
        <v>398</v>
      </c>
      <c r="D45" s="22" t="s">
        <v>506</v>
      </c>
      <c r="E45" s="22"/>
      <c r="F45" s="22" t="s">
        <v>153</v>
      </c>
      <c r="G45" s="22"/>
      <c r="H45" s="22"/>
      <c r="I45" s="22"/>
    </row>
    <row r="46" customFormat="false" ht="30" hidden="false" customHeight="true" outlineLevel="0" collapsed="false">
      <c r="A46" s="26" t="s">
        <v>530</v>
      </c>
      <c r="B46" s="22" t="s">
        <v>531</v>
      </c>
      <c r="C46" s="22" t="s">
        <v>398</v>
      </c>
      <c r="D46" s="22" t="s">
        <v>506</v>
      </c>
      <c r="E46" s="22"/>
      <c r="F46" s="22" t="s">
        <v>158</v>
      </c>
      <c r="G46" s="22" t="s">
        <v>58</v>
      </c>
      <c r="H46" s="22"/>
      <c r="I46" s="22" t="s">
        <v>532</v>
      </c>
    </row>
  </sheetData>
  <autoFilter ref="A1:I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34"/>
    <col collapsed="false" customWidth="true" hidden="false" outlineLevel="0" max="4" min="4" style="0" width="6"/>
    <col collapsed="false" customWidth="true" hidden="false" outlineLevel="0" max="6" min="5" style="0" width="20"/>
    <col collapsed="false" customWidth="true" hidden="false" outlineLevel="0" max="7" min="7" style="0" width="10"/>
    <col collapsed="false" customWidth="true" hidden="false" outlineLevel="0" max="8" min="8" style="0" width="16"/>
    <col collapsed="false" customWidth="true" hidden="false" outlineLevel="0" max="9" min="9" style="0" width="22"/>
    <col collapsed="false" customWidth="true" hidden="false" outlineLevel="0" max="10" min="10" style="0" width="24"/>
    <col collapsed="false" customWidth="true" hidden="false" outlineLevel="0" max="11" min="11" style="0" width="20"/>
    <col collapsed="false" customWidth="true" hidden="false" outlineLevel="0" max="12" min="12" style="0" width="10"/>
    <col collapsed="false" customWidth="true" hidden="false" outlineLevel="0" max="13" min="13" style="0" width="52"/>
  </cols>
  <sheetData>
    <row r="1" customFormat="false" ht="35.05" hidden="false" customHeight="false" outlineLevel="0" collapsed="false">
      <c r="A1" s="20" t="s">
        <v>533</v>
      </c>
      <c r="B1" s="20" t="s">
        <v>1</v>
      </c>
      <c r="C1" s="20" t="s">
        <v>165</v>
      </c>
      <c r="D1" s="20" t="s">
        <v>3</v>
      </c>
      <c r="E1" s="20" t="s">
        <v>534</v>
      </c>
      <c r="F1" s="20" t="s">
        <v>535</v>
      </c>
      <c r="G1" s="20" t="s">
        <v>536</v>
      </c>
      <c r="H1" s="20" t="s">
        <v>537</v>
      </c>
      <c r="I1" s="20" t="s">
        <v>538</v>
      </c>
      <c r="J1" s="20" t="s">
        <v>539</v>
      </c>
      <c r="K1" s="20" t="s">
        <v>540</v>
      </c>
      <c r="L1" s="20" t="s">
        <v>541</v>
      </c>
      <c r="M1" s="20" t="s">
        <v>542</v>
      </c>
    </row>
    <row r="2" customFormat="false" ht="43.5" hidden="false" customHeight="true" outlineLevel="0" collapsed="false">
      <c r="A2" s="26" t="s">
        <v>33</v>
      </c>
      <c r="B2" s="21" t="str">
        <f aca="false">INDEX(Historias!$B$2:$B$27,MATCH(A2,Historias!$A$2:$A$27,0))</f>
        <v>1 – Paciente</v>
      </c>
      <c r="C2" s="22" t="str">
        <f aca="false">INDEX(Historias!$C$2:$C$27,MATCH(A2,Historias!$A$2:$A$27,0))</f>
        <v>Gestionar mis citas</v>
      </c>
      <c r="D2" s="27" t="n">
        <f aca="false">INDEX(Historias!$F$2:$F$27,MATCH(A2,Historias!$A$2:$A$27,0))</f>
        <v>5</v>
      </c>
      <c r="E2" s="22" t="s">
        <v>543</v>
      </c>
      <c r="F2" s="22" t="s">
        <v>544</v>
      </c>
      <c r="G2" s="27" t="n">
        <f aca="false">COUNTIF('Casos de uso'!$F$2:$F$46,A2)</f>
        <v>4</v>
      </c>
      <c r="H2" s="22" t="str">
        <f aca="false">IF(G2=1,"1:1","1:N")&amp;IF(OR(I2&lt;&gt;"",J2&lt;&gt;"")," · compartido","")</f>
        <v>1:N · compartido</v>
      </c>
      <c r="I2" s="22" t="s">
        <v>545</v>
      </c>
      <c r="J2" s="22" t="s">
        <v>546</v>
      </c>
      <c r="K2" s="22" t="s">
        <v>547</v>
      </c>
      <c r="L2" s="27" t="n">
        <v>2</v>
      </c>
      <c r="M2" s="22" t="s">
        <v>548</v>
      </c>
    </row>
    <row r="3" customFormat="false" ht="43.5" hidden="false" customHeight="true" outlineLevel="0" collapsed="false">
      <c r="A3" s="26" t="s">
        <v>38</v>
      </c>
      <c r="B3" s="21" t="str">
        <f aca="false">INDEX(Historias!$B$2:$B$27,MATCH(A3,Historias!$A$2:$A$27,0))</f>
        <v>1 – Paciente</v>
      </c>
      <c r="C3" s="22" t="str">
        <f aca="false">INDEX(Historias!$C$2:$C$27,MATCH(A3,Historias!$A$2:$A$27,0))</f>
        <v>Recibir notificaciones y recordatorios</v>
      </c>
      <c r="D3" s="27" t="n">
        <f aca="false">INDEX(Historias!$F$2:$F$27,MATCH(A3,Historias!$A$2:$A$27,0))</f>
        <v>5</v>
      </c>
      <c r="E3" s="22" t="s">
        <v>549</v>
      </c>
      <c r="F3" s="22" t="s">
        <v>550</v>
      </c>
      <c r="G3" s="27" t="n">
        <f aca="false">COUNTIF('Casos de uso'!$F$2:$F$46,A3)</f>
        <v>2</v>
      </c>
      <c r="H3" s="22" t="str">
        <f aca="false">IF(G3=1,"1:1","1:N")&amp;IF(OR(I3&lt;&gt;"",J3&lt;&gt;"")," · compartido","")</f>
        <v>1:N · compartido</v>
      </c>
      <c r="I3" s="22"/>
      <c r="J3" s="22" t="s">
        <v>551</v>
      </c>
      <c r="K3" s="22" t="s">
        <v>98</v>
      </c>
      <c r="L3" s="27" t="n">
        <v>2</v>
      </c>
      <c r="M3" s="22" t="s">
        <v>552</v>
      </c>
    </row>
    <row r="4" customFormat="false" ht="30" hidden="false" customHeight="true" outlineLevel="0" collapsed="false">
      <c r="A4" s="26" t="s">
        <v>43</v>
      </c>
      <c r="B4" s="21" t="str">
        <f aca="false">INDEX(Historias!$B$2:$B$27,MATCH(A4,Historias!$A$2:$A$27,0))</f>
        <v>1 – Paciente</v>
      </c>
      <c r="C4" s="22" t="str">
        <f aca="false">INDEX(Historias!$C$2:$C$27,MATCH(A4,Historias!$A$2:$A$27,0))</f>
        <v>Consultar mi historial de pruebas</v>
      </c>
      <c r="D4" s="27" t="n">
        <f aca="false">INDEX(Historias!$F$2:$F$27,MATCH(A4,Historias!$A$2:$A$27,0))</f>
        <v>3</v>
      </c>
      <c r="E4" s="22" t="s">
        <v>553</v>
      </c>
      <c r="F4" s="22" t="s">
        <v>554</v>
      </c>
      <c r="G4" s="27" t="n">
        <f aca="false">COUNTIF('Casos de uso'!$F$2:$F$46,A4)</f>
        <v>2</v>
      </c>
      <c r="H4" s="22" t="str">
        <f aca="false">IF(G4=1,"1:1","1:N")&amp;IF(OR(I4&lt;&gt;"",J4&lt;&gt;"")," · compartido","")</f>
        <v>1:N · compartido</v>
      </c>
      <c r="I4" s="22" t="s">
        <v>508</v>
      </c>
      <c r="J4" s="22" t="s">
        <v>555</v>
      </c>
      <c r="K4" s="22" t="s">
        <v>556</v>
      </c>
      <c r="L4" s="27" t="n">
        <v>3</v>
      </c>
      <c r="M4" s="22" t="s">
        <v>557</v>
      </c>
    </row>
    <row r="5" customFormat="false" ht="30" hidden="false" customHeight="true" outlineLevel="0" collapsed="false">
      <c r="A5" s="26" t="s">
        <v>48</v>
      </c>
      <c r="B5" s="21" t="str">
        <f aca="false">INDEX(Historias!$B$2:$B$27,MATCH(A5,Historias!$A$2:$A$27,0))</f>
        <v>1 – Paciente</v>
      </c>
      <c r="C5" s="22" t="str">
        <f aca="false">INDEX(Historias!$C$2:$C$27,MATCH(A5,Historias!$A$2:$A$27,0))</f>
        <v>Enviar incidencias y encuestas de satisfacción</v>
      </c>
      <c r="D5" s="27" t="n">
        <f aca="false">INDEX(Historias!$F$2:$F$27,MATCH(A5,Historias!$A$2:$A$27,0))</f>
        <v>3</v>
      </c>
      <c r="E5" s="22" t="s">
        <v>558</v>
      </c>
      <c r="F5" s="22" t="s">
        <v>559</v>
      </c>
      <c r="G5" s="27" t="n">
        <f aca="false">COUNTIF('Casos de uso'!$F$2:$F$46,A5)</f>
        <v>2</v>
      </c>
      <c r="H5" s="22" t="str">
        <f aca="false">IF(G5=1,"1:1","1:N")&amp;IF(OR(I5&lt;&gt;"",J5&lt;&gt;"")," · compartido","")</f>
        <v>1:N</v>
      </c>
      <c r="I5" s="22"/>
      <c r="J5" s="22"/>
      <c r="K5" s="22" t="s">
        <v>138</v>
      </c>
      <c r="L5" s="27" t="n">
        <v>4</v>
      </c>
      <c r="M5" s="22"/>
    </row>
    <row r="6" customFormat="false" ht="30" hidden="false" customHeight="true" outlineLevel="0" collapsed="false">
      <c r="A6" s="26" t="s">
        <v>53</v>
      </c>
      <c r="B6" s="21" t="str">
        <f aca="false">INDEX(Historias!$B$2:$B$27,MATCH(A6,Historias!$A$2:$A$27,0))</f>
        <v>1 – Paciente</v>
      </c>
      <c r="C6" s="22" t="str">
        <f aca="false">INDEX(Historias!$C$2:$C$27,MATCH(A6,Historias!$A$2:$A$27,0))</f>
        <v>Consultar guías clínicas y revisiones periódicas</v>
      </c>
      <c r="D6" s="27" t="n">
        <f aca="false">INDEX(Historias!$F$2:$F$27,MATCH(A6,Historias!$A$2:$A$27,0))</f>
        <v>2</v>
      </c>
      <c r="E6" s="22" t="s">
        <v>560</v>
      </c>
      <c r="F6" s="22" t="s">
        <v>561</v>
      </c>
      <c r="G6" s="27" t="n">
        <f aca="false">COUNTIF('Casos de uso'!$F$2:$F$46,A6)</f>
        <v>2</v>
      </c>
      <c r="H6" s="22" t="str">
        <f aca="false">IF(G6=1,"1:1","1:N")&amp;IF(OR(I6&lt;&gt;"",J6&lt;&gt;"")," · compartido","")</f>
        <v>1:N · compartido</v>
      </c>
      <c r="I6" s="22"/>
      <c r="J6" s="22" t="s">
        <v>562</v>
      </c>
      <c r="K6" s="22" t="s">
        <v>563</v>
      </c>
      <c r="L6" s="27" t="n">
        <v>4</v>
      </c>
      <c r="M6" s="22" t="s">
        <v>564</v>
      </c>
    </row>
    <row r="7" customFormat="false" ht="30" hidden="false" customHeight="true" outlineLevel="0" collapsed="false">
      <c r="A7" s="26" t="s">
        <v>58</v>
      </c>
      <c r="B7" s="23" t="str">
        <f aca="false">INDEX(Historias!$B$2:$B$27,MATCH(A7,Historias!$A$2:$A$27,0))</f>
        <v>2 – Médico</v>
      </c>
      <c r="C7" s="22" t="str">
        <f aca="false">INDEX(Historias!$C$2:$C$27,MATCH(A7,Historias!$A$2:$A$27,0))</f>
        <v>Solicitar una prueba diagnóstica</v>
      </c>
      <c r="D7" s="27" t="n">
        <f aca="false">INDEX(Historias!$F$2:$F$27,MATCH(A7,Historias!$A$2:$A$27,0))</f>
        <v>5</v>
      </c>
      <c r="E7" s="22" t="s">
        <v>565</v>
      </c>
      <c r="F7" s="22" t="s">
        <v>435</v>
      </c>
      <c r="G7" s="27" t="n">
        <f aca="false">COUNTIF('Casos de uso'!$F$2:$F$46,A7)</f>
        <v>1</v>
      </c>
      <c r="H7" s="22" t="str">
        <f aca="false">IF(G7=1,"1:1","1:N")&amp;IF(OR(I7&lt;&gt;"",J7&lt;&gt;"")," · compartido","")</f>
        <v>1:1 · compartido</v>
      </c>
      <c r="I7" s="22" t="s">
        <v>530</v>
      </c>
      <c r="J7" s="22" t="s">
        <v>566</v>
      </c>
      <c r="K7" s="22" t="s">
        <v>567</v>
      </c>
      <c r="L7" s="27" t="n">
        <v>2</v>
      </c>
      <c r="M7" s="22" t="s">
        <v>568</v>
      </c>
    </row>
    <row r="8" customFormat="false" ht="30" hidden="false" customHeight="true" outlineLevel="0" collapsed="false">
      <c r="A8" s="26" t="s">
        <v>63</v>
      </c>
      <c r="B8" s="23" t="str">
        <f aca="false">INDEX(Historias!$B$2:$B$27,MATCH(A8,Historias!$A$2:$A$27,0))</f>
        <v>2 – Médico</v>
      </c>
      <c r="C8" s="22" t="str">
        <f aca="false">INDEX(Historias!$C$2:$C$27,MATCH(A8,Historias!$A$2:$A$27,0))</f>
        <v>Solicitar pruebas de seguimiento periódicas</v>
      </c>
      <c r="D8" s="27" t="n">
        <f aca="false">INDEX(Historias!$F$2:$F$27,MATCH(A8,Historias!$A$2:$A$27,0))</f>
        <v>5</v>
      </c>
      <c r="E8" s="22" t="s">
        <v>569</v>
      </c>
      <c r="F8" s="22" t="s">
        <v>570</v>
      </c>
      <c r="G8" s="27" t="n">
        <f aca="false">COUNTIF('Casos de uso'!$F$2:$F$46,A8)</f>
        <v>3</v>
      </c>
      <c r="H8" s="22" t="str">
        <f aca="false">IF(G8=1,"1:1","1:N")&amp;IF(OR(I8&lt;&gt;"",J8&lt;&gt;"")," · compartido","")</f>
        <v>1:N · compartido</v>
      </c>
      <c r="I8" s="22" t="s">
        <v>433</v>
      </c>
      <c r="J8" s="22" t="s">
        <v>571</v>
      </c>
      <c r="K8" s="22" t="s">
        <v>58</v>
      </c>
      <c r="L8" s="27" t="n">
        <v>3</v>
      </c>
      <c r="M8" s="22" t="s">
        <v>572</v>
      </c>
    </row>
    <row r="9" customFormat="false" ht="30" hidden="false" customHeight="true" outlineLevel="0" collapsed="false">
      <c r="A9" s="26" t="s">
        <v>68</v>
      </c>
      <c r="B9" s="23" t="str">
        <f aca="false">INDEX(Historias!$B$2:$B$27,MATCH(A9,Historias!$A$2:$A$27,0))</f>
        <v>2 – Médico</v>
      </c>
      <c r="C9" s="22" t="str">
        <f aca="false">INDEX(Historias!$C$2:$C$27,MATCH(A9,Historias!$A$2:$A$27,0))</f>
        <v>Seguir el estado de mis peticiones y ver agendas</v>
      </c>
      <c r="D9" s="27" t="n">
        <f aca="false">INDEX(Historias!$F$2:$F$27,MATCH(A9,Historias!$A$2:$A$27,0))</f>
        <v>3</v>
      </c>
      <c r="E9" s="22" t="s">
        <v>573</v>
      </c>
      <c r="F9" s="22" t="s">
        <v>574</v>
      </c>
      <c r="G9" s="27" t="n">
        <f aca="false">COUNTIF('Casos de uso'!$F$2:$F$46,A9)</f>
        <v>2</v>
      </c>
      <c r="H9" s="22" t="str">
        <f aca="false">IF(G9=1,"1:1","1:N")&amp;IF(OR(I9&lt;&gt;"",J9&lt;&gt;"")," · compartido","")</f>
        <v>1:N · compartido</v>
      </c>
      <c r="I9" s="22"/>
      <c r="J9" s="22" t="s">
        <v>575</v>
      </c>
      <c r="K9" s="22" t="s">
        <v>576</v>
      </c>
      <c r="L9" s="27" t="n">
        <v>3</v>
      </c>
      <c r="M9" s="22"/>
    </row>
    <row r="10" customFormat="false" ht="30" hidden="false" customHeight="true" outlineLevel="0" collapsed="false">
      <c r="A10" s="26" t="s">
        <v>73</v>
      </c>
      <c r="B10" s="23" t="str">
        <f aca="false">INDEX(Historias!$B$2:$B$27,MATCH(A10,Historias!$A$2:$A$27,0))</f>
        <v>2 – Médico</v>
      </c>
      <c r="C10" s="22" t="str">
        <f aca="false">INDEX(Historias!$C$2:$C$27,MATCH(A10,Historias!$A$2:$A$27,0))</f>
        <v>Redactar, revisar y firmar informes diagnósticos</v>
      </c>
      <c r="D10" s="27" t="n">
        <f aca="false">INDEX(Historias!$F$2:$F$27,MATCH(A10,Historias!$A$2:$A$27,0))</f>
        <v>5</v>
      </c>
      <c r="E10" s="22" t="s">
        <v>577</v>
      </c>
      <c r="F10" s="22" t="s">
        <v>578</v>
      </c>
      <c r="G10" s="27" t="n">
        <f aca="false">COUNTIF('Casos de uso'!$F$2:$F$46,A10)</f>
        <v>2</v>
      </c>
      <c r="H10" s="22" t="str">
        <f aca="false">IF(G10=1,"1:1","1:N")&amp;IF(OR(I10&lt;&gt;"",J10&lt;&gt;"")," · compartido","")</f>
        <v>1:N · compartido</v>
      </c>
      <c r="I10" s="22" t="s">
        <v>579</v>
      </c>
      <c r="J10" s="22" t="s">
        <v>580</v>
      </c>
      <c r="K10" s="22" t="s">
        <v>581</v>
      </c>
      <c r="L10" s="27" t="n">
        <v>3</v>
      </c>
      <c r="M10" s="22" t="s">
        <v>582</v>
      </c>
    </row>
    <row r="11" customFormat="false" ht="30" hidden="false" customHeight="true" outlineLevel="0" collapsed="false">
      <c r="A11" s="26" t="s">
        <v>83</v>
      </c>
      <c r="B11" s="23" t="str">
        <f aca="false">INDEX(Historias!$B$2:$B$27,MATCH(A11,Historias!$A$2:$A$27,0))</f>
        <v>2 – Médico</v>
      </c>
      <c r="C11" s="22" t="str">
        <f aca="false">INDEX(Historias!$C$2:$C$27,MATCH(A11,Historias!$A$2:$A$27,0))</f>
        <v>Registrar la ejecución de la prueba y sus incidencias</v>
      </c>
      <c r="D11" s="27" t="n">
        <f aca="false">INDEX(Historias!$F$2:$F$27,MATCH(A11,Historias!$A$2:$A$27,0))</f>
        <v>3</v>
      </c>
      <c r="E11" s="22" t="s">
        <v>583</v>
      </c>
      <c r="F11" s="22" t="s">
        <v>584</v>
      </c>
      <c r="G11" s="27" t="n">
        <f aca="false">COUNTIF('Casos de uso'!$F$2:$F$46,A11)</f>
        <v>2</v>
      </c>
      <c r="H11" s="22" t="str">
        <f aca="false">IF(G11=1,"1:1","1:N")&amp;IF(OR(I11&lt;&gt;"",J11&lt;&gt;"")," · compartido","")</f>
        <v>1:N</v>
      </c>
      <c r="I11" s="22"/>
      <c r="J11" s="22"/>
      <c r="K11" s="22" t="s">
        <v>98</v>
      </c>
      <c r="L11" s="27" t="n">
        <v>3</v>
      </c>
      <c r="M11" s="22"/>
    </row>
    <row r="12" customFormat="false" ht="30" hidden="false" customHeight="true" outlineLevel="0" collapsed="false">
      <c r="A12" s="26" t="s">
        <v>88</v>
      </c>
      <c r="B12" s="23" t="str">
        <f aca="false">INDEX(Historias!$B$2:$B$27,MATCH(A12,Historias!$A$2:$A$27,0))</f>
        <v>2 – Médico</v>
      </c>
      <c r="C12" s="22" t="str">
        <f aca="false">INDEX(Historias!$C$2:$C$27,MATCH(A12,Historias!$A$2:$A$27,0))</f>
        <v>Consultar métricas operativas de mis peticiones</v>
      </c>
      <c r="D12" s="27" t="n">
        <f aca="false">INDEX(Historias!$F$2:$F$27,MATCH(A12,Historias!$A$2:$A$27,0))</f>
        <v>5</v>
      </c>
      <c r="E12" s="22" t="s">
        <v>585</v>
      </c>
      <c r="F12" s="22" t="s">
        <v>470</v>
      </c>
      <c r="G12" s="27" t="n">
        <f aca="false">COUNTIF('Casos de uso'!$F$2:$F$46,A12)</f>
        <v>1</v>
      </c>
      <c r="H12" s="22" t="str">
        <f aca="false">IF(G12=1,"1:1","1:N")&amp;IF(OR(I12&lt;&gt;"",J12&lt;&gt;"")," · compartido","")</f>
        <v>1:1 · compartido</v>
      </c>
      <c r="I12" s="22" t="s">
        <v>502</v>
      </c>
      <c r="J12" s="22" t="s">
        <v>586</v>
      </c>
      <c r="K12" s="22" t="s">
        <v>581</v>
      </c>
      <c r="L12" s="27" t="n">
        <v>4</v>
      </c>
      <c r="M12" s="22" t="s">
        <v>587</v>
      </c>
    </row>
    <row r="13" customFormat="false" ht="43.5" hidden="false" customHeight="true" outlineLevel="0" collapsed="false">
      <c r="A13" s="26" t="s">
        <v>93</v>
      </c>
      <c r="B13" s="24" t="str">
        <f aca="false">INDEX(Historias!$B$2:$B$27,MATCH(A13,Historias!$A$2:$A$27,0))</f>
        <v>3 – Administración y Admisiones</v>
      </c>
      <c r="C13" s="22" t="str">
        <f aca="false">INDEX(Historias!$C$2:$C$27,MATCH(A13,Historias!$A$2:$A$27,0))</f>
        <v>Gestionar datos demográficos de pacientes</v>
      </c>
      <c r="D13" s="27" t="n">
        <f aca="false">INDEX(Historias!$F$2:$F$27,MATCH(A13,Historias!$A$2:$A$27,0))</f>
        <v>5</v>
      </c>
      <c r="E13" s="22" t="s">
        <v>588</v>
      </c>
      <c r="F13" s="22" t="s">
        <v>589</v>
      </c>
      <c r="G13" s="27" t="n">
        <f aca="false">COUNTIF('Casos de uso'!$F$2:$F$46,A13)</f>
        <v>3</v>
      </c>
      <c r="H13" s="22" t="str">
        <f aca="false">IF(G13=1,"1:1","1:N")&amp;IF(OR(I13&lt;&gt;"",J13&lt;&gt;"")," · compartido","")</f>
        <v>1:N · compartido</v>
      </c>
      <c r="I13" s="22" t="s">
        <v>519</v>
      </c>
      <c r="J13" s="22" t="s">
        <v>590</v>
      </c>
      <c r="K13" s="22" t="s">
        <v>591</v>
      </c>
      <c r="L13" s="27" t="n">
        <v>2</v>
      </c>
      <c r="M13" s="22" t="s">
        <v>592</v>
      </c>
    </row>
    <row r="14" customFormat="false" ht="30" hidden="false" customHeight="true" outlineLevel="0" collapsed="false">
      <c r="A14" s="26" t="s">
        <v>98</v>
      </c>
      <c r="B14" s="24" t="str">
        <f aca="false">INDEX(Historias!$B$2:$B$27,MATCH(A14,Historias!$A$2:$A$27,0))</f>
        <v>3 – Administración y Admisiones</v>
      </c>
      <c r="C14" s="22" t="str">
        <f aca="false">INDEX(Historias!$C$2:$C$27,MATCH(A14,Historias!$A$2:$A$27,0))</f>
        <v>Asignar citas en la agenda</v>
      </c>
      <c r="D14" s="27" t="n">
        <f aca="false">INDEX(Historias!$F$2:$F$27,MATCH(A14,Historias!$A$2:$A$27,0))</f>
        <v>5</v>
      </c>
      <c r="E14" s="22" t="s">
        <v>593</v>
      </c>
      <c r="F14" s="22" t="s">
        <v>483</v>
      </c>
      <c r="G14" s="27" t="n">
        <f aca="false">COUNTIF('Casos de uso'!$F$2:$F$46,A14)</f>
        <v>1</v>
      </c>
      <c r="H14" s="22" t="str">
        <f aca="false">IF(G14=1,"1:1","1:N")&amp;IF(OR(I14&lt;&gt;"",J14&lt;&gt;"")," · compartido","")</f>
        <v>1:1 · compartido</v>
      </c>
      <c r="I14" s="22" t="s">
        <v>594</v>
      </c>
      <c r="J14" s="22"/>
      <c r="K14" s="22" t="s">
        <v>595</v>
      </c>
      <c r="L14" s="27" t="n">
        <v>2</v>
      </c>
      <c r="M14" s="22" t="s">
        <v>596</v>
      </c>
    </row>
    <row r="15" customFormat="false" ht="30" hidden="false" customHeight="true" outlineLevel="0" collapsed="false">
      <c r="A15" s="26" t="s">
        <v>108</v>
      </c>
      <c r="B15" s="24" t="str">
        <f aca="false">INDEX(Historias!$B$2:$B$27,MATCH(A15,Historias!$A$2:$A$27,0))</f>
        <v>3 – Administración y Admisiones</v>
      </c>
      <c r="C15" s="22" t="str">
        <f aca="false">INDEX(Historias!$C$2:$C$27,MATCH(A15,Historias!$A$2:$A$27,0))</f>
        <v>Gestionar listas de trabajo diarias</v>
      </c>
      <c r="D15" s="27" t="n">
        <f aca="false">INDEX(Historias!$F$2:$F$27,MATCH(A15,Historias!$A$2:$A$27,0))</f>
        <v>3</v>
      </c>
      <c r="E15" s="22" t="s">
        <v>597</v>
      </c>
      <c r="F15" s="22" t="s">
        <v>492</v>
      </c>
      <c r="G15" s="27" t="n">
        <f aca="false">COUNTIF('Casos de uso'!$F$2:$F$46,A15)</f>
        <v>1</v>
      </c>
      <c r="H15" s="22" t="str">
        <f aca="false">IF(G15=1,"1:1","1:N")&amp;IF(OR(I15&lt;&gt;"",J15&lt;&gt;"")," · compartido","")</f>
        <v>1:1</v>
      </c>
      <c r="I15" s="22"/>
      <c r="J15" s="22"/>
      <c r="K15" s="22" t="s">
        <v>98</v>
      </c>
      <c r="L15" s="27" t="n">
        <v>3</v>
      </c>
      <c r="M15" s="22"/>
    </row>
    <row r="16" customFormat="false" ht="30" hidden="false" customHeight="true" outlineLevel="0" collapsed="false">
      <c r="A16" s="26" t="s">
        <v>113</v>
      </c>
      <c r="B16" s="24" t="str">
        <f aca="false">INDEX(Historias!$B$2:$B$27,MATCH(A16,Historias!$A$2:$A$27,0))</f>
        <v>3 – Administración y Admisiones</v>
      </c>
      <c r="C16" s="22" t="str">
        <f aca="false">INDEX(Historias!$C$2:$C$27,MATCH(A16,Historias!$A$2:$A$27,0))</f>
        <v>Gestionar listas de espera y prioridades</v>
      </c>
      <c r="D16" s="27" t="n">
        <f aca="false">INDEX(Historias!$F$2:$F$27,MATCH(A16,Historias!$A$2:$A$27,0))</f>
        <v>5</v>
      </c>
      <c r="E16" s="22" t="s">
        <v>598</v>
      </c>
      <c r="F16" s="22" t="s">
        <v>599</v>
      </c>
      <c r="G16" s="27" t="n">
        <f aca="false">COUNTIF('Casos de uso'!$F$2:$F$46,A16)</f>
        <v>3</v>
      </c>
      <c r="H16" s="22" t="str">
        <f aca="false">IF(G16=1,"1:1","1:N")&amp;IF(OR(I16&lt;&gt;"",J16&lt;&gt;"")," · compartido","")</f>
        <v>1:N · compartido</v>
      </c>
      <c r="I16" s="22" t="s">
        <v>445</v>
      </c>
      <c r="J16" s="22" t="s">
        <v>600</v>
      </c>
      <c r="K16" s="22" t="s">
        <v>601</v>
      </c>
      <c r="L16" s="27" t="n">
        <v>3</v>
      </c>
      <c r="M16" s="22" t="s">
        <v>602</v>
      </c>
    </row>
    <row r="17" customFormat="false" ht="30" hidden="false" customHeight="true" outlineLevel="0" collapsed="false">
      <c r="A17" s="26" t="s">
        <v>118</v>
      </c>
      <c r="B17" s="24" t="str">
        <f aca="false">INDEX(Historias!$B$2:$B$27,MATCH(A17,Historias!$A$2:$A$27,0))</f>
        <v>3 – Administración y Admisiones</v>
      </c>
      <c r="C17" s="22" t="str">
        <f aca="false">INDEX(Historias!$C$2:$C$27,MATCH(A17,Historias!$A$2:$A$27,0))</f>
        <v>Generar informes operativos</v>
      </c>
      <c r="D17" s="27" t="n">
        <f aca="false">INDEX(Historias!$F$2:$F$27,MATCH(A17,Historias!$A$2:$A$27,0))</f>
        <v>5</v>
      </c>
      <c r="E17" s="22" t="s">
        <v>603</v>
      </c>
      <c r="F17" s="22" t="s">
        <v>502</v>
      </c>
      <c r="G17" s="27" t="n">
        <f aca="false">COUNTIF('Casos de uso'!$F$2:$F$46,A17)</f>
        <v>1</v>
      </c>
      <c r="H17" s="22" t="str">
        <f aca="false">IF(G17=1,"1:1","1:N")&amp;IF(OR(I17&lt;&gt;"",J17&lt;&gt;"")," · compartido","")</f>
        <v>1:1 · compartido</v>
      </c>
      <c r="I17" s="22" t="s">
        <v>470</v>
      </c>
      <c r="J17" s="22" t="s">
        <v>604</v>
      </c>
      <c r="K17" s="22" t="s">
        <v>605</v>
      </c>
      <c r="L17" s="27" t="n">
        <v>4</v>
      </c>
      <c r="M17" s="22" t="s">
        <v>606</v>
      </c>
    </row>
    <row r="18" customFormat="false" ht="30" hidden="false" customHeight="true" outlineLevel="0" collapsed="false">
      <c r="A18" s="26" t="s">
        <v>123</v>
      </c>
      <c r="B18" s="25" t="str">
        <f aca="false">INDEX(Historias!$B$2:$B$27,MATCH(A18,Historias!$A$2:$A$27,0))</f>
        <v>4 – Administrador del sistema</v>
      </c>
      <c r="C18" s="22" t="str">
        <f aca="false">INDEX(Historias!$C$2:$C$27,MATCH(A18,Historias!$A$2:$A$27,0))</f>
        <v>Configurar parámetros del sistema</v>
      </c>
      <c r="D18" s="27" t="n">
        <f aca="false">INDEX(Historias!$F$2:$F$27,MATCH(A18,Historias!$A$2:$A$27,0))</f>
        <v>5</v>
      </c>
      <c r="E18" s="22" t="s">
        <v>607</v>
      </c>
      <c r="F18" s="22" t="s">
        <v>505</v>
      </c>
      <c r="G18" s="27" t="n">
        <f aca="false">COUNTIF('Casos de uso'!$F$2:$F$46,A18)</f>
        <v>1</v>
      </c>
      <c r="H18" s="22" t="str">
        <f aca="false">IF(G18=1,"1:1","1:N")&amp;IF(OR(I18&lt;&gt;"",J18&lt;&gt;"")," · compartido","")</f>
        <v>1:1</v>
      </c>
      <c r="I18" s="22"/>
      <c r="J18" s="22"/>
      <c r="K18" s="22" t="s">
        <v>128</v>
      </c>
      <c r="L18" s="27" t="n">
        <v>1</v>
      </c>
      <c r="M18" s="22" t="s">
        <v>608</v>
      </c>
    </row>
    <row r="19" customFormat="false" ht="43.5" hidden="false" customHeight="true" outlineLevel="0" collapsed="false">
      <c r="A19" s="26" t="s">
        <v>128</v>
      </c>
      <c r="B19" s="25" t="str">
        <f aca="false">INDEX(Historias!$B$2:$B$27,MATCH(A19,Historias!$A$2:$A$27,0))</f>
        <v>4 – Administrador del sistema</v>
      </c>
      <c r="C19" s="22" t="str">
        <f aca="false">INDEX(Historias!$C$2:$C$27,MATCH(A19,Historias!$A$2:$A$27,0))</f>
        <v>Gestionar roles y permisos</v>
      </c>
      <c r="D19" s="27" t="n">
        <f aca="false">INDEX(Historias!$F$2:$F$27,MATCH(A19,Historias!$A$2:$A$27,0))</f>
        <v>5</v>
      </c>
      <c r="E19" s="22" t="s">
        <v>609</v>
      </c>
      <c r="F19" s="22" t="s">
        <v>507</v>
      </c>
      <c r="G19" s="27" t="n">
        <f aca="false">COUNTIF('Casos de uso'!$F$2:$F$46,A19)</f>
        <v>1</v>
      </c>
      <c r="H19" s="22" t="str">
        <f aca="false">IF(G19=1,"1:1","1:N")&amp;IF(OR(I19&lt;&gt;"",J19&lt;&gt;"")," · compartido","")</f>
        <v>1:1 · compartido</v>
      </c>
      <c r="I19" s="22" t="s">
        <v>515</v>
      </c>
      <c r="J19" s="22" t="s">
        <v>610</v>
      </c>
      <c r="K19" s="22"/>
      <c r="L19" s="27" t="n">
        <v>1</v>
      </c>
      <c r="M19" s="22" t="s">
        <v>611</v>
      </c>
    </row>
    <row r="20" customFormat="false" ht="43.5" hidden="false" customHeight="true" outlineLevel="0" collapsed="false">
      <c r="A20" s="26" t="s">
        <v>133</v>
      </c>
      <c r="B20" s="25" t="str">
        <f aca="false">INDEX(Historias!$B$2:$B$27,MATCH(A20,Historias!$A$2:$A$27,0))</f>
        <v>4 – Administrador del sistema</v>
      </c>
      <c r="C20" s="22" t="str">
        <f aca="false">INDEX(Historias!$C$2:$C$27,MATCH(A20,Historias!$A$2:$A$27,0))</f>
        <v>Auditar actividad y accesos a datos clínicos</v>
      </c>
      <c r="D20" s="27" t="n">
        <f aca="false">INDEX(Historias!$F$2:$F$27,MATCH(A20,Historias!$A$2:$A$27,0))</f>
        <v>5</v>
      </c>
      <c r="E20" s="22" t="s">
        <v>612</v>
      </c>
      <c r="F20" s="22" t="s">
        <v>613</v>
      </c>
      <c r="G20" s="27" t="n">
        <f aca="false">COUNTIF('Casos de uso'!$F$2:$F$46,A20)</f>
        <v>2</v>
      </c>
      <c r="H20" s="22" t="str">
        <f aca="false">IF(G20=1,"1:1","1:N")&amp;IF(OR(I20&lt;&gt;"",J20&lt;&gt;"")," · compartido","")</f>
        <v>1:N · compartido</v>
      </c>
      <c r="I20" s="22"/>
      <c r="J20" s="22" t="s">
        <v>614</v>
      </c>
      <c r="K20" s="22" t="s">
        <v>128</v>
      </c>
      <c r="L20" s="27" t="n">
        <v>1</v>
      </c>
      <c r="M20" s="22" t="s">
        <v>615</v>
      </c>
    </row>
    <row r="21" customFormat="false" ht="30" hidden="false" customHeight="true" outlineLevel="0" collapsed="false">
      <c r="A21" s="26" t="s">
        <v>138</v>
      </c>
      <c r="B21" s="25" t="str">
        <f aca="false">INDEX(Historias!$B$2:$B$27,MATCH(A21,Historias!$A$2:$A$27,0))</f>
        <v>4 – Administrador del sistema</v>
      </c>
      <c r="C21" s="22" t="str">
        <f aca="false">INDEX(Historias!$C$2:$C$27,MATCH(A21,Historias!$A$2:$A$27,0))</f>
        <v>Acceso con SSO corporativo</v>
      </c>
      <c r="D21" s="27" t="n">
        <f aca="false">INDEX(Historias!$F$2:$F$27,MATCH(A21,Historias!$A$2:$A$27,0))</f>
        <v>5</v>
      </c>
      <c r="E21" s="22" t="s">
        <v>616</v>
      </c>
      <c r="F21" s="22" t="s">
        <v>515</v>
      </c>
      <c r="G21" s="27" t="n">
        <f aca="false">COUNTIF('Casos de uso'!$F$2:$F$46,A21)</f>
        <v>1</v>
      </c>
      <c r="H21" s="22" t="str">
        <f aca="false">IF(G21=1,"1:1","1:N")&amp;IF(OR(I21&lt;&gt;"",J21&lt;&gt;"")," · compartido","")</f>
        <v>1:1 · compartido</v>
      </c>
      <c r="I21" s="22" t="s">
        <v>507</v>
      </c>
      <c r="J21" s="22" t="s">
        <v>617</v>
      </c>
      <c r="K21" s="22" t="s">
        <v>128</v>
      </c>
      <c r="L21" s="27" t="n">
        <v>1</v>
      </c>
      <c r="M21" s="22" t="s">
        <v>618</v>
      </c>
    </row>
    <row r="22" customFormat="false" ht="30" hidden="false" customHeight="true" outlineLevel="0" collapsed="false">
      <c r="A22" s="26" t="s">
        <v>143</v>
      </c>
      <c r="B22" s="25" t="str">
        <f aca="false">INDEX(Historias!$B$2:$B$27,MATCH(A22,Historias!$A$2:$A$27,0))</f>
        <v>4 – Administrador del sistema</v>
      </c>
      <c r="C22" s="22" t="str">
        <f aca="false">INDEX(Historias!$C$2:$C$27,MATCH(A22,Historias!$A$2:$A$27,0))</f>
        <v>Integrar HCE y admisión (FHIR/HL7)</v>
      </c>
      <c r="D22" s="27" t="n">
        <f aca="false">INDEX(Historias!$F$2:$F$27,MATCH(A22,Historias!$A$2:$A$27,0))</f>
        <v>8</v>
      </c>
      <c r="E22" s="22" t="s">
        <v>619</v>
      </c>
      <c r="F22" s="22" t="s">
        <v>620</v>
      </c>
      <c r="G22" s="27" t="n">
        <f aca="false">COUNTIF('Casos de uso'!$F$2:$F$46,A22)</f>
        <v>2</v>
      </c>
      <c r="H22" s="22" t="str">
        <f aca="false">IF(G22=1,"1:1","1:N")&amp;IF(OR(I22&lt;&gt;"",J22&lt;&gt;"")," · compartido","")</f>
        <v>1:N · compartido</v>
      </c>
      <c r="I22" s="22" t="s">
        <v>474</v>
      </c>
      <c r="J22" s="22" t="s">
        <v>621</v>
      </c>
      <c r="K22" s="22"/>
      <c r="L22" s="27" t="n">
        <v>2</v>
      </c>
      <c r="M22" s="22" t="s">
        <v>622</v>
      </c>
    </row>
    <row r="23" customFormat="false" ht="30" hidden="false" customHeight="true" outlineLevel="0" collapsed="false">
      <c r="A23" s="26" t="s">
        <v>153</v>
      </c>
      <c r="B23" s="25" t="str">
        <f aca="false">INDEX(Historias!$B$2:$B$27,MATCH(A23,Historias!$A$2:$A$27,0))</f>
        <v>4 – Administrador del sistema</v>
      </c>
      <c r="C23" s="22" t="str">
        <f aca="false">INDEX(Historias!$C$2:$C$27,MATCH(A23,Historias!$A$2:$A$27,0))</f>
        <v>Estadísticas globales e informes de uso</v>
      </c>
      <c r="D23" s="27" t="n">
        <f aca="false">INDEX(Historias!$F$2:$F$27,MATCH(A23,Historias!$A$2:$A$27,0))</f>
        <v>5</v>
      </c>
      <c r="E23" s="22" t="s">
        <v>623</v>
      </c>
      <c r="F23" s="22" t="s">
        <v>528</v>
      </c>
      <c r="G23" s="27" t="n">
        <f aca="false">COUNTIF('Casos de uso'!$F$2:$F$46,A23)</f>
        <v>1</v>
      </c>
      <c r="H23" s="22" t="str">
        <f aca="false">IF(G23=1,"1:1","1:N")&amp;IF(OR(I23&lt;&gt;"",J23&lt;&gt;"")," · compartido","")</f>
        <v>1:1 · compartido</v>
      </c>
      <c r="I23" s="22" t="s">
        <v>624</v>
      </c>
      <c r="J23" s="22"/>
      <c r="K23" s="22" t="s">
        <v>625</v>
      </c>
      <c r="L23" s="27" t="n">
        <v>4</v>
      </c>
      <c r="M23" s="22" t="s">
        <v>626</v>
      </c>
    </row>
    <row r="24" customFormat="false" ht="30" hidden="false" customHeight="true" outlineLevel="0" collapsed="false">
      <c r="A24" s="26" t="s">
        <v>158</v>
      </c>
      <c r="B24" s="25" t="str">
        <f aca="false">INDEX(Historias!$B$2:$B$27,MATCH(A24,Historias!$A$2:$A$27,0))</f>
        <v>4 – Administrador del sistema</v>
      </c>
      <c r="C24" s="22" t="str">
        <f aca="false">INDEX(Historias!$C$2:$C$27,MATCH(A24,Historias!$A$2:$A$27,0))</f>
        <v>Gestionar el catálogo de tipos de prueba</v>
      </c>
      <c r="D24" s="27" t="n">
        <f aca="false">INDEX(Historias!$F$2:$F$27,MATCH(A24,Historias!$A$2:$A$27,0))</f>
        <v>5</v>
      </c>
      <c r="E24" s="22" t="s">
        <v>627</v>
      </c>
      <c r="F24" s="22" t="s">
        <v>530</v>
      </c>
      <c r="G24" s="27" t="n">
        <f aca="false">COUNTIF('Casos de uso'!$F$2:$F$46,A24)</f>
        <v>1</v>
      </c>
      <c r="H24" s="22" t="str">
        <f aca="false">IF(G24=1,"1:1","1:N")&amp;IF(OR(I24&lt;&gt;"",J24&lt;&gt;"")," · compartido","")</f>
        <v>1:1 · compartido</v>
      </c>
      <c r="I24" s="22" t="s">
        <v>435</v>
      </c>
      <c r="J24" s="22" t="s">
        <v>628</v>
      </c>
      <c r="K24" s="22" t="s">
        <v>128</v>
      </c>
      <c r="L24" s="27" t="n">
        <v>1</v>
      </c>
      <c r="M24" s="22" t="s">
        <v>629</v>
      </c>
    </row>
    <row r="25" customFormat="false" ht="30" hidden="false" customHeight="true" outlineLevel="0" collapsed="false">
      <c r="A25" s="26" t="s">
        <v>148</v>
      </c>
      <c r="B25" s="25" t="str">
        <f aca="false">INDEX(Historias!$B$2:$B$27,MATCH(A25,Historias!$A$2:$A$27,0))</f>
        <v>4 – Administrador del sistema</v>
      </c>
      <c r="C25" s="22" t="str">
        <f aca="false">INDEX(Historias!$C$2:$C$27,MATCH(A25,Historias!$A$2:$A$27,0))</f>
        <v>Integrar RIS/PACS (DICOM)</v>
      </c>
      <c r="D25" s="27" t="n">
        <f aca="false">INDEX(Historias!$F$2:$F$27,MATCH(A25,Historias!$A$2:$A$27,0))</f>
        <v>5</v>
      </c>
      <c r="E25" s="22" t="s">
        <v>630</v>
      </c>
      <c r="F25" s="22" t="s">
        <v>525</v>
      </c>
      <c r="G25" s="27" t="n">
        <f aca="false">COUNTIF('Casos de uso'!$F$2:$F$46,A25)</f>
        <v>1</v>
      </c>
      <c r="H25" s="22" t="str">
        <f aca="false">IF(G25=1,"1:1","1:N")&amp;IF(OR(I25&lt;&gt;"",J25&lt;&gt;"")," · compartido","")</f>
        <v>1:1 · compartido</v>
      </c>
      <c r="I25" s="22" t="s">
        <v>522</v>
      </c>
      <c r="J25" s="22" t="s">
        <v>631</v>
      </c>
      <c r="K25" s="22"/>
      <c r="L25" s="27" t="n">
        <v>3</v>
      </c>
      <c r="M25" s="22" t="s">
        <v>632</v>
      </c>
    </row>
    <row r="26" customFormat="false" ht="30" hidden="false" customHeight="true" outlineLevel="0" collapsed="false">
      <c r="A26" s="26" t="s">
        <v>78</v>
      </c>
      <c r="B26" s="23" t="str">
        <f aca="false">INDEX(Historias!$B$2:$B$27,MATCH(A26,Historias!$A$2:$A$27,0))</f>
        <v>2 – Médico</v>
      </c>
      <c r="C26" s="22" t="str">
        <f aca="false">INDEX(Historias!$C$2:$C$27,MATCH(A26,Historias!$A$2:$A$27,0))</f>
        <v>Visualizar imágenes DICOM desde el informe</v>
      </c>
      <c r="D26" s="27" t="n">
        <f aca="false">INDEX(Historias!$F$2:$F$27,MATCH(A26,Historias!$A$2:$A$27,0))</f>
        <v>3</v>
      </c>
      <c r="E26" s="22" t="s">
        <v>633</v>
      </c>
      <c r="F26" s="22" t="s">
        <v>461</v>
      </c>
      <c r="G26" s="27" t="n">
        <f aca="false">COUNTIF('Casos de uso'!$F$2:$F$46,A26)</f>
        <v>1</v>
      </c>
      <c r="H26" s="22" t="str">
        <f aca="false">IF(G26=1,"1:1","1:N")&amp;IF(OR(I26&lt;&gt;"",J26&lt;&gt;"")," · compartido","")</f>
        <v>1:1 · compartido</v>
      </c>
      <c r="I26" s="22" t="s">
        <v>634</v>
      </c>
      <c r="J26" s="22" t="s">
        <v>635</v>
      </c>
      <c r="K26" s="22" t="s">
        <v>636</v>
      </c>
      <c r="L26" s="27" t="n">
        <v>3</v>
      </c>
      <c r="M26" s="22" t="s">
        <v>637</v>
      </c>
    </row>
    <row r="27" customFormat="false" ht="30" hidden="false" customHeight="true" outlineLevel="0" collapsed="false">
      <c r="A27" s="26" t="s">
        <v>103</v>
      </c>
      <c r="B27" s="24" t="str">
        <f aca="false">INDEX(Historias!$B$2:$B$27,MATCH(A27,Historias!$A$2:$A$27,0))</f>
        <v>3 – Administración y Admisiones</v>
      </c>
      <c r="C27" s="22" t="str">
        <f aca="false">INDEX(Historias!$C$2:$C$27,MATCH(A27,Historias!$A$2:$A$27,0))</f>
        <v>Reprogramar y cancelar citas y resolver solicitudes de cambio</v>
      </c>
      <c r="D27" s="27" t="n">
        <f aca="false">INDEX(Historias!$F$2:$F$27,MATCH(A27,Historias!$A$2:$A$27,0))</f>
        <v>3</v>
      </c>
      <c r="E27" s="22" t="s">
        <v>638</v>
      </c>
      <c r="F27" s="22" t="s">
        <v>639</v>
      </c>
      <c r="G27" s="27" t="n">
        <f aca="false">COUNTIF('Casos de uso'!$F$2:$F$46,A27)</f>
        <v>2</v>
      </c>
      <c r="H27" s="22" t="str">
        <f aca="false">IF(G27=1,"1:1","1:N")&amp;IF(OR(I27&lt;&gt;"",J27&lt;&gt;"")," · compartido","")</f>
        <v>1:N · compartido</v>
      </c>
      <c r="I27" s="22" t="s">
        <v>640</v>
      </c>
      <c r="J27" s="22" t="s">
        <v>641</v>
      </c>
      <c r="K27" s="22" t="s">
        <v>642</v>
      </c>
      <c r="L27" s="27" t="n">
        <v>2</v>
      </c>
      <c r="M27" s="22" t="s">
        <v>643</v>
      </c>
    </row>
    <row r="28" customFormat="false" ht="15" hidden="false" customHeight="false" outlineLevel="0" collapsed="false">
      <c r="A28" s="28" t="n">
        <f aca="false">COUNTA(A2:A27)</f>
        <v>26</v>
      </c>
      <c r="B28" s="13"/>
      <c r="C28" s="13" t="s">
        <v>10</v>
      </c>
      <c r="D28" s="19" t="n">
        <f aca="false">SUM(D2:D27)</f>
        <v>116</v>
      </c>
      <c r="E28" s="13"/>
      <c r="F28" s="13"/>
      <c r="G28" s="19" t="n">
        <f aca="false">SUM(G2:G27)</f>
        <v>45</v>
      </c>
      <c r="H28" s="13" t="str">
        <f aca="false">TEXT(G28/A28,"0.00")&amp;" CU por HU"</f>
        <v>1.73 CU por HU</v>
      </c>
      <c r="I28" s="13"/>
      <c r="J28" s="13"/>
      <c r="K28" s="13"/>
      <c r="L28" s="13"/>
      <c r="M28" s="13"/>
    </row>
    <row r="30" customFormat="false" ht="15" hidden="false" customHeight="false" outlineLevel="0" collapsed="false">
      <c r="A30" s="13" t="s">
        <v>11</v>
      </c>
    </row>
    <row r="31" customFormat="false" ht="15" hidden="false" customHeight="false" outlineLevel="0" collapsed="false">
      <c r="A31" s="14" t="s">
        <v>644</v>
      </c>
    </row>
    <row r="32" customFormat="false" ht="15" hidden="false" customHeight="false" outlineLevel="0" collapsed="false">
      <c r="A32" s="14" t="s">
        <v>645</v>
      </c>
    </row>
    <row r="33" customFormat="false" ht="15" hidden="false" customHeight="false" outlineLevel="0" collapsed="false">
      <c r="A33" s="14" t="s">
        <v>646</v>
      </c>
    </row>
    <row r="34" customFormat="false" ht="15" hidden="false" customHeight="false" outlineLevel="0" collapsed="false">
      <c r="A34" s="14" t="s">
        <v>647</v>
      </c>
    </row>
    <row r="35" customFormat="false" ht="15" hidden="false" customHeight="false" outlineLevel="0" collapsed="false">
      <c r="A35" s="14" t="s">
        <v>648</v>
      </c>
    </row>
  </sheetData>
  <autoFilter ref="A1:M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72"/>
  </cols>
  <sheetData>
    <row r="1" customFormat="false" ht="15" hidden="false" customHeight="false" outlineLevel="0" collapsed="false">
      <c r="A1" s="29" t="s">
        <v>649</v>
      </c>
    </row>
    <row r="2" customFormat="false" ht="15" hidden="false" customHeight="false" outlineLevel="0" collapsed="false">
      <c r="A2" s="30" t="s">
        <v>650</v>
      </c>
    </row>
    <row r="4" customFormat="false" ht="15" hidden="false" customHeight="false" outlineLevel="0" collapsed="false">
      <c r="A4" s="20" t="s">
        <v>651</v>
      </c>
      <c r="B4" s="20" t="s">
        <v>652</v>
      </c>
      <c r="C4" s="20" t="s">
        <v>653</v>
      </c>
    </row>
    <row r="5" customFormat="false" ht="30" hidden="false" customHeight="true" outlineLevel="0" collapsed="false">
      <c r="A5" s="26" t="s">
        <v>654</v>
      </c>
      <c r="B5" s="22" t="s">
        <v>655</v>
      </c>
      <c r="C5" s="22" t="s">
        <v>656</v>
      </c>
    </row>
    <row r="6" customFormat="false" ht="30" hidden="false" customHeight="true" outlineLevel="0" collapsed="false">
      <c r="A6" s="26" t="s">
        <v>657</v>
      </c>
      <c r="B6" s="22" t="s">
        <v>658</v>
      </c>
      <c r="C6" s="22" t="s">
        <v>659</v>
      </c>
    </row>
    <row r="7" customFormat="false" ht="27.75" hidden="false" customHeight="true" outlineLevel="0" collapsed="false">
      <c r="A7" s="26" t="s">
        <v>660</v>
      </c>
      <c r="B7" s="22" t="s">
        <v>661</v>
      </c>
      <c r="C7" s="22" t="s">
        <v>662</v>
      </c>
    </row>
    <row r="8" customFormat="false" ht="27.75" hidden="false" customHeight="true" outlineLevel="0" collapsed="false">
      <c r="A8" s="26" t="s">
        <v>390</v>
      </c>
      <c r="B8" s="22" t="s">
        <v>663</v>
      </c>
      <c r="C8" s="22" t="s">
        <v>664</v>
      </c>
    </row>
    <row r="9" customFormat="false" ht="30" hidden="false" customHeight="true" outlineLevel="0" collapsed="false">
      <c r="A9" s="26" t="s">
        <v>391</v>
      </c>
      <c r="B9" s="22" t="s">
        <v>665</v>
      </c>
      <c r="C9" s="22" t="s">
        <v>666</v>
      </c>
    </row>
    <row r="10" customFormat="false" ht="30" hidden="false" customHeight="true" outlineLevel="0" collapsed="false">
      <c r="A10" s="26" t="s">
        <v>394</v>
      </c>
      <c r="B10" s="22" t="s">
        <v>667</v>
      </c>
      <c r="C10" s="22" t="s">
        <v>668</v>
      </c>
    </row>
    <row r="11" customFormat="false" ht="30" hidden="false" customHeight="true" outlineLevel="0" collapsed="false">
      <c r="A11" s="26" t="s">
        <v>669</v>
      </c>
      <c r="B11" s="22" t="s">
        <v>670</v>
      </c>
      <c r="C11" s="22" t="s">
        <v>671</v>
      </c>
    </row>
    <row r="12" customFormat="false" ht="27.75" hidden="false" customHeight="true" outlineLevel="0" collapsed="false">
      <c r="A12" s="26" t="s">
        <v>672</v>
      </c>
      <c r="B12" s="22" t="s">
        <v>673</v>
      </c>
      <c r="C12" s="22" t="s">
        <v>674</v>
      </c>
    </row>
    <row r="13" customFormat="false" ht="96" hidden="false" customHeight="true" outlineLevel="0" collapsed="false">
      <c r="A13" s="26" t="s">
        <v>675</v>
      </c>
      <c r="B13" s="22" t="s">
        <v>676</v>
      </c>
      <c r="C13" s="22" t="s">
        <v>677</v>
      </c>
    </row>
    <row r="14" customFormat="false" ht="56.25" hidden="false" customHeight="true" outlineLevel="0" collapsed="false">
      <c r="A14" s="26" t="s">
        <v>678</v>
      </c>
      <c r="B14" s="22" t="s">
        <v>679</v>
      </c>
      <c r="C14" s="22" t="s">
        <v>680</v>
      </c>
    </row>
    <row r="15" customFormat="false" ht="69.75" hidden="false" customHeight="true" outlineLevel="0" collapsed="false">
      <c r="A15" s="26" t="s">
        <v>681</v>
      </c>
      <c r="B15" s="22" t="s">
        <v>682</v>
      </c>
      <c r="C15" s="22" t="s">
        <v>683</v>
      </c>
    </row>
    <row r="16" customFormat="false" ht="30" hidden="false" customHeight="true" outlineLevel="0" collapsed="false">
      <c r="A16" s="26" t="s">
        <v>684</v>
      </c>
      <c r="B16" s="22" t="s">
        <v>685</v>
      </c>
      <c r="C16" s="22" t="s">
        <v>686</v>
      </c>
    </row>
    <row r="17" customFormat="false" ht="30" hidden="false" customHeight="true" outlineLevel="0" collapsed="false">
      <c r="A17" s="26" t="s">
        <v>687</v>
      </c>
      <c r="B17" s="22" t="s">
        <v>688</v>
      </c>
      <c r="C17" s="22" t="s">
        <v>689</v>
      </c>
    </row>
    <row r="18" customFormat="false" ht="27.75" hidden="false" customHeight="true" outlineLevel="0" collapsed="false">
      <c r="A18" s="26" t="s">
        <v>690</v>
      </c>
      <c r="B18" s="22" t="s">
        <v>691</v>
      </c>
      <c r="C18" s="22" t="s">
        <v>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2026-10-09T20:57:34Z</dcterms:created>
  <dc:creator>openpyxl</dc:creator>
  <dc:description/>
  <dc:language>en-US</dc:language>
  <cp:lastModifiedBy/>
  <dcterms:modified xsi:type="dcterms:W3CDTF">2026-10-27T18:21:30Z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